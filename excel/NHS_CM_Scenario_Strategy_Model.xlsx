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7.xml" ContentType="application/vnd.openxmlformats-officedocument.spreadsheetml.comment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riving forces" sheetId="2" state="visible" r:id="rId4"/>
    <sheet name="Impact-uncertainty" sheetId="3" state="visible" r:id="rId5"/>
    <sheet name="Tipping points" sheetId="4" state="visible" r:id="rId6"/>
    <sheet name="Scenarios" sheetId="5" state="visible" r:id="rId7"/>
    <sheet name="Strategies" sheetId="6" state="visible" r:id="rId8"/>
    <sheet name="Results grid" sheetId="7" state="visible" r:id="rId9"/>
    <sheet name="Decision analysis" sheetId="8" state="visible" r:id="rId10"/>
    <sheet name="Regret" sheetId="9" state="visible" r:id="rId11"/>
    <sheet name="Early warning" sheetId="10" state="visible" r:id="rId12"/>
    <sheet name="Diagnostic triangulation" sheetId="11" state="visible" r:id="rId13"/>
    <sheet name="Recommendation" sheetId="12" state="visible" r:id="rId14"/>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Model documentation</author>
  </authors>
  <commentList>
    <comment ref="I5" authorId="0">
      <text>
        <r>
          <rPr>
            <sz val="10"/>
            <rFont val="Arial"/>
            <family val="2"/>
          </rPr>
          <t xml:space="preserve">Unsourced estimate — analyst judgement with no published source, or a quantity for which no public figure exists at any level.</t>
        </r>
      </text>
    </comment>
    <comment ref="I6" authorId="0">
      <text>
        <r>
          <rPr>
            <sz val="10"/>
            <rFont val="Arial"/>
            <family val="2"/>
          </rPr>
          <t xml:space="preserve">Unsourced estimate — analyst judgement with no published source, or a quantity for which no public figure exists at any level.</t>
        </r>
      </text>
    </comment>
    <comment ref="I7" authorId="0">
      <text>
        <r>
          <rPr>
            <sz val="10"/>
            <rFont val="Arial"/>
            <family val="2"/>
          </rPr>
          <t xml:space="preserve">Sourced — published national dataset covering the current period (NCC 2024/25; NHS Payment Scheme 2025/26).</t>
        </r>
      </text>
    </comment>
    <comment ref="I8" authorId="0">
      <text>
        <r>
          <rPr>
            <sz val="10"/>
            <rFont val="Arial"/>
            <family val="2"/>
          </rPr>
          <t xml:space="preserve">Measured — derived from this warehouse's own observed data with a quantified interval attached (Phase 2 Monte Carlo forecast).</t>
        </r>
      </text>
    </comment>
    <comment ref="I9" authorId="0">
      <text>
        <r>
          <rPr>
            <sz val="10"/>
            <rFont val="Arial"/>
            <family val="2"/>
          </rPr>
          <t xml:space="preserve">Unsourced estimate — analyst judgement with no published source, or a quantity for which no public figure exists at any level.</t>
        </r>
      </text>
    </comment>
    <comment ref="I10" authorId="0">
      <text>
        <r>
          <rPr>
            <sz val="10"/>
            <rFont val="Arial"/>
            <family val="2"/>
          </rPr>
          <t xml:space="preserve">Anchored estimate — extrapolated from warehouse data or from a stated national policy target, but not itself a published figure.</t>
        </r>
      </text>
    </comment>
  </commentList>
</comments>
</file>

<file path=xl/comments3.xml><?xml version="1.0" encoding="utf-8"?>
<comments xmlns="http://schemas.openxmlformats.org/spreadsheetml/2006/main" xmlns:xdr="http://schemas.openxmlformats.org/drawingml/2006/spreadsheetDrawing">
  <authors>
    <author>Model documentation</author>
  </authors>
  <commentList>
    <comment ref="G5" authorId="0">
      <text>
        <r>
          <rPr>
            <sz val="10"/>
            <rFont val="Arial"/>
            <family val="2"/>
          </rPr>
          <t xml:space="preserve">Evidence grade 4, rescaled to 0-1 as (grade-1)/3.</t>
        </r>
      </text>
    </comment>
    <comment ref="G6" authorId="0">
      <text>
        <r>
          <rPr>
            <sz val="10"/>
            <rFont val="Arial"/>
            <family val="2"/>
          </rPr>
          <t xml:space="preserve">Evidence grade 4, rescaled to 0-1 as (grade-1)/3.</t>
        </r>
      </text>
    </comment>
    <comment ref="G7" authorId="0">
      <text>
        <r>
          <rPr>
            <sz val="10"/>
            <rFont val="Arial"/>
            <family val="2"/>
          </rPr>
          <t xml:space="preserve">Evidence grade 1, rescaled to 0-1 as (grade-1)/3.</t>
        </r>
      </text>
    </comment>
    <comment ref="G8" authorId="0">
      <text>
        <r>
          <rPr>
            <sz val="10"/>
            <rFont val="Arial"/>
            <family val="2"/>
          </rPr>
          <t xml:space="preserve">Evidence grade 2, rescaled to 0-1 as (grade-1)/3.</t>
        </r>
      </text>
    </comment>
    <comment ref="G9" authorId="0">
      <text>
        <r>
          <rPr>
            <sz val="10"/>
            <rFont val="Arial"/>
            <family val="2"/>
          </rPr>
          <t xml:space="preserve">Evidence grade 4, rescaled to 0-1 as (grade-1)/3.</t>
        </r>
      </text>
    </comment>
    <comment ref="G10" authorId="0">
      <text>
        <r>
          <rPr>
            <sz val="10"/>
            <rFont val="Arial"/>
            <family val="2"/>
          </rPr>
          <t xml:space="preserve">Evidence grade 3, rescaled to 0-1 as (grade-1)/3.</t>
        </r>
      </text>
    </comment>
  </commentList>
</comments>
</file>

<file path=xl/comments6.xml><?xml version="1.0" encoding="utf-8"?>
<comments xmlns="http://schemas.openxmlformats.org/spreadsheetml/2006/main" xmlns:xdr="http://schemas.openxmlformats.org/drawingml/2006/spreadsheetDrawing">
  <authors>
    <author>Model documentation</author>
  </authors>
  <commentList>
    <comment ref="E5" authorId="0">
      <text>
        <r>
          <rPr>
            <sz val="10"/>
            <rFont val="Arial"/>
            <family val="2"/>
          </rPr>
          <t xml:space="preserve">Fully reversible — no commitment is made.</t>
        </r>
      </text>
    </comment>
    <comment ref="E6" authorId="0">
      <text>
        <r>
          <rPr>
            <sz val="10"/>
            <rFont val="Arial"/>
            <family val="2"/>
          </rPr>
          <t xml:space="preserve">Mixed. Scalability depends on which levers the optimum happens to select, which is not stable across scenarios.</t>
        </r>
      </text>
    </comment>
    <comment ref="E7" authorId="0">
      <text>
        <r>
          <rPr>
            <sz val="10"/>
            <rFont val="Arial"/>
            <family val="2"/>
          </rPr>
          <t xml:space="preserve">Low. Substantive capacity implies recruitment and estate commitments that cannot be unwound within the horizon.</t>
        </r>
      </text>
    </comment>
    <comment ref="E8" authorId="0">
      <text>
        <r>
          <rPr>
            <sz val="10"/>
            <rFont val="Arial"/>
            <family val="2"/>
          </rPr>
          <t xml:space="preserve">High. Contracted volumes can be scaled or stopped between periods.</t>
        </r>
      </text>
    </comment>
    <comment ref="E9" authorId="0">
      <text>
        <r>
          <rPr>
            <sz val="10"/>
            <rFont val="Arial"/>
            <family val="2"/>
          </rPr>
          <t xml:space="preserve">Moderate. Equipment and workforce commitments are partly reversible; capital elements are not.</t>
        </r>
      </text>
    </comment>
    <comment ref="E10" authorId="0">
      <text>
        <r>
          <rPr>
            <sz val="10"/>
            <rFont val="Arial"/>
            <family val="2"/>
          </rPr>
          <t xml:space="preserve">Moderate — the constraint binds allocation, not contract form.</t>
        </r>
      </text>
    </comment>
    <comment ref="E11" authorId="0">
      <text>
        <r>
          <rPr>
            <sz val="10"/>
            <rFont val="Arial"/>
            <family val="2"/>
          </rPr>
          <t xml:space="preserve">Mixed — depends on the in-house / outsourced split, which is left to the solve.</t>
        </r>
      </text>
    </comment>
    <comment ref="E12" authorId="0">
      <text>
        <r>
          <rPr>
            <sz val="10"/>
            <rFont val="Arial"/>
            <family val="2"/>
          </rPr>
          <t xml:space="preserve">Good. Any one strand can be scaled back without collapsing the programme.</t>
        </r>
      </text>
    </comment>
    <comment ref="F5" authorId="0">
      <text>
        <r>
          <rPr>
            <sz val="10"/>
            <rFont val="Arial"/>
            <family val="2"/>
          </rPr>
          <t xml:space="preserve">No downside to insure against beyond the backlog itself.</t>
        </r>
      </text>
    </comment>
    <comment ref="F6" authorId="0">
      <text>
        <r>
          <rPr>
            <sz val="10"/>
            <rFont val="Arial"/>
            <family val="2"/>
          </rPr>
          <t xml:space="preserve">Hard to contract against, because the commitment is not describable in advance of the solve.</t>
        </r>
      </text>
    </comment>
    <comment ref="F7" authorId="0">
      <text>
        <r>
          <rPr>
            <sz val="10"/>
            <rFont val="Arial"/>
            <family val="2"/>
          </rPr>
          <t xml:space="preserve">Limited. Fixed costs persist if demand falls away.</t>
        </r>
      </text>
    </comment>
    <comment ref="F8" authorId="0">
      <text>
        <r>
          <rPr>
            <sz val="10"/>
            <rFont val="Arial"/>
            <family val="2"/>
          </rPr>
          <t xml:space="preserve">Good. Volume risk sits with the provider under a per-case contract.</t>
        </r>
      </text>
    </comment>
    <comment ref="F9" authorId="0">
      <text>
        <r>
          <rPr>
            <sz val="10"/>
            <rFont val="Arial"/>
            <family val="2"/>
          </rPr>
          <t xml:space="preserve">Weak. Benefit depends on the unsourced conversion ratio.</t>
        </r>
      </text>
    </comment>
    <comment ref="F10" authorId="0">
      <text>
        <r>
          <rPr>
            <sz val="10"/>
            <rFont val="Arial"/>
            <family val="2"/>
          </rPr>
          <t xml:space="preserve">Weak.</t>
        </r>
      </text>
    </comment>
    <comment ref="F11" authorId="0">
      <text>
        <r>
          <rPr>
            <sz val="10"/>
            <rFont val="Arial"/>
            <family val="2"/>
          </rPr>
          <t xml:space="preserve">Partial, through the outsourced component.</t>
        </r>
      </text>
    </comment>
    <comment ref="F12" authorId="0">
      <text>
        <r>
          <rPr>
            <sz val="10"/>
            <rFont val="Arial"/>
            <family val="2"/>
          </rPr>
          <t xml:space="preserve">Moderate — the outsourced strand carries contractual protection, the others less so.</t>
        </r>
      </text>
    </comment>
  </commentList>
</comments>
</file>

<file path=xl/comments7.xml><?xml version="1.0" encoding="utf-8"?>
<comments xmlns="http://schemas.openxmlformats.org/spreadsheetml/2006/main" xmlns:xdr="http://schemas.openxmlformats.org/drawingml/2006/spreadsheetDrawing">
  <authors>
    <author>Model documentation</author>
  </authors>
  <commentList>
    <comment ref="D5" authorId="0">
      <text>
        <r>
          <rPr>
            <sz val="10"/>
            <rFont val="Arial"/>
            <family val="2"/>
          </rPr>
          <t xml:space="preserve">Whole breaches. The single canonical basis on which strategies are ranked, in this workbook and in the engine.</t>
        </r>
      </text>
    </comment>
    <comment ref="D6" authorId="0">
      <text>
        <r>
          <rPr>
            <sz val="10"/>
            <rFont val="Arial"/>
            <family val="2"/>
          </rPr>
          <t xml:space="preserve">Whole breaches. The single canonical basis on which strategies are ranked, in this workbook and in the engine.</t>
        </r>
      </text>
    </comment>
    <comment ref="D7" authorId="0">
      <text>
        <r>
          <rPr>
            <sz val="10"/>
            <rFont val="Arial"/>
            <family val="2"/>
          </rPr>
          <t xml:space="preserve">Whole breaches. The single canonical basis on which strategies are ranked, in this workbook and in the engine.</t>
        </r>
      </text>
    </comment>
    <comment ref="D8" authorId="0">
      <text>
        <r>
          <rPr>
            <sz val="10"/>
            <rFont val="Arial"/>
            <family val="2"/>
          </rPr>
          <t xml:space="preserve">Whole breaches. The single canonical basis on which strategies are ranked, in this workbook and in the engine.</t>
        </r>
      </text>
    </comment>
    <comment ref="D9" authorId="0">
      <text>
        <r>
          <rPr>
            <sz val="10"/>
            <rFont val="Arial"/>
            <family val="2"/>
          </rPr>
          <t xml:space="preserve">Whole breaches. The single canonical basis on which strategies are ranked, in this workbook and in the engine.</t>
        </r>
      </text>
    </comment>
    <comment ref="D10" authorId="0">
      <text>
        <r>
          <rPr>
            <sz val="10"/>
            <rFont val="Arial"/>
            <family val="2"/>
          </rPr>
          <t xml:space="preserve">Whole breaches. The single canonical basis on which strategies are ranked, in this workbook and in the engine.</t>
        </r>
      </text>
    </comment>
    <comment ref="D11" authorId="0">
      <text>
        <r>
          <rPr>
            <sz val="10"/>
            <rFont val="Arial"/>
            <family val="2"/>
          </rPr>
          <t xml:space="preserve">Whole breaches. The single canonical basis on which strategies are ranked, in this workbook and in the engine.</t>
        </r>
      </text>
    </comment>
    <comment ref="D12" authorId="0">
      <text>
        <r>
          <rPr>
            <sz val="10"/>
            <rFont val="Arial"/>
            <family val="2"/>
          </rPr>
          <t xml:space="preserve">Whole breaches. The single canonical basis on which strategies are ranked, in this workbook and in the engine.</t>
        </r>
      </text>
    </comment>
    <comment ref="D13" authorId="0">
      <text>
        <r>
          <rPr>
            <sz val="10"/>
            <rFont val="Arial"/>
            <family val="2"/>
          </rPr>
          <t xml:space="preserve">Whole breaches. The single canonical basis on which strategies are ranked, in this workbook and in the engine.</t>
        </r>
      </text>
    </comment>
    <comment ref="D14" authorId="0">
      <text>
        <r>
          <rPr>
            <sz val="10"/>
            <rFont val="Arial"/>
            <family val="2"/>
          </rPr>
          <t xml:space="preserve">Whole breaches. The single canonical basis on which strategies are ranked, in this workbook and in the engine.</t>
        </r>
      </text>
    </comment>
    <comment ref="D15" authorId="0">
      <text>
        <r>
          <rPr>
            <sz val="10"/>
            <rFont val="Arial"/>
            <family val="2"/>
          </rPr>
          <t xml:space="preserve">Whole breaches. The single canonical basis on which strategies are ranked, in this workbook and in the engine.</t>
        </r>
      </text>
    </comment>
    <comment ref="D16" authorId="0">
      <text>
        <r>
          <rPr>
            <sz val="10"/>
            <rFont val="Arial"/>
            <family val="2"/>
          </rPr>
          <t xml:space="preserve">Whole breaches. The single canonical basis on which strategies are ranked, in this workbook and in the engine.</t>
        </r>
      </text>
    </comment>
    <comment ref="D17" authorId="0">
      <text>
        <r>
          <rPr>
            <sz val="10"/>
            <rFont val="Arial"/>
            <family val="2"/>
          </rPr>
          <t xml:space="preserve">Whole breaches. The single canonical basis on which strategies are ranked, in this workbook and in the engine.</t>
        </r>
      </text>
    </comment>
    <comment ref="D18" authorId="0">
      <text>
        <r>
          <rPr>
            <sz val="10"/>
            <rFont val="Arial"/>
            <family val="2"/>
          </rPr>
          <t xml:space="preserve">Whole breaches. The single canonical basis on which strategies are ranked, in this workbook and in the engine.</t>
        </r>
      </text>
    </comment>
    <comment ref="D19" authorId="0">
      <text>
        <r>
          <rPr>
            <sz val="10"/>
            <rFont val="Arial"/>
            <family val="2"/>
          </rPr>
          <t xml:space="preserve">Whole breaches. The single canonical basis on which strategies are ranked, in this workbook and in the engine.</t>
        </r>
      </text>
    </comment>
    <comment ref="D20" authorId="0">
      <text>
        <r>
          <rPr>
            <sz val="10"/>
            <rFont val="Arial"/>
            <family val="2"/>
          </rPr>
          <t xml:space="preserve">Whole breaches. The single canonical basis on which strategies are ranked, in this workbook and in the engine.</t>
        </r>
      </text>
    </comment>
    <comment ref="D21" authorId="0">
      <text>
        <r>
          <rPr>
            <sz val="10"/>
            <rFont val="Arial"/>
            <family val="2"/>
          </rPr>
          <t xml:space="preserve">Whole breaches. The single canonical basis on which strategies are ranked, in this workbook and in the engine.</t>
        </r>
      </text>
    </comment>
    <comment ref="D22" authorId="0">
      <text>
        <r>
          <rPr>
            <sz val="10"/>
            <rFont val="Arial"/>
            <family val="2"/>
          </rPr>
          <t xml:space="preserve">Whole breaches. The single canonical basis on which strategies are ranked, in this workbook and in the engine.</t>
        </r>
      </text>
    </comment>
    <comment ref="D23" authorId="0">
      <text>
        <r>
          <rPr>
            <sz val="10"/>
            <rFont val="Arial"/>
            <family val="2"/>
          </rPr>
          <t xml:space="preserve">Whole breaches. The single canonical basis on which strategies are ranked, in this workbook and in the engine.</t>
        </r>
      </text>
    </comment>
    <comment ref="D24" authorId="0">
      <text>
        <r>
          <rPr>
            <sz val="10"/>
            <rFont val="Arial"/>
            <family val="2"/>
          </rPr>
          <t xml:space="preserve">Whole breaches. The single canonical basis on which strategies are ranked, in this workbook and in the engine.</t>
        </r>
      </text>
    </comment>
    <comment ref="D25" authorId="0">
      <text>
        <r>
          <rPr>
            <sz val="10"/>
            <rFont val="Arial"/>
            <family val="2"/>
          </rPr>
          <t xml:space="preserve">Whole breaches. The single canonical basis on which strategies are ranked, in this workbook and in the engine.</t>
        </r>
      </text>
    </comment>
    <comment ref="D26" authorId="0">
      <text>
        <r>
          <rPr>
            <sz val="10"/>
            <rFont val="Arial"/>
            <family val="2"/>
          </rPr>
          <t xml:space="preserve">Whole breaches. The single canonical basis on which strategies are ranked, in this workbook and in the engine.</t>
        </r>
      </text>
    </comment>
    <comment ref="D27" authorId="0">
      <text>
        <r>
          <rPr>
            <sz val="10"/>
            <rFont val="Arial"/>
            <family val="2"/>
          </rPr>
          <t xml:space="preserve">Whole breaches. The single canonical basis on which strategies are ranked, in this workbook and in the engine.</t>
        </r>
      </text>
    </comment>
    <comment ref="D28" authorId="0">
      <text>
        <r>
          <rPr>
            <sz val="10"/>
            <rFont val="Arial"/>
            <family val="2"/>
          </rPr>
          <t xml:space="preserve">Whole breaches. The single canonical basis on which strategies are ranked, in this workbook and in the engine.</t>
        </r>
      </text>
    </comment>
    <comment ref="D29" authorId="0">
      <text>
        <r>
          <rPr>
            <sz val="10"/>
            <rFont val="Arial"/>
            <family val="2"/>
          </rPr>
          <t xml:space="preserve">Whole breaches. The single canonical basis on which strategies are ranked, in this workbook and in the engine.</t>
        </r>
      </text>
    </comment>
    <comment ref="D30" authorId="0">
      <text>
        <r>
          <rPr>
            <sz val="10"/>
            <rFont val="Arial"/>
            <family val="2"/>
          </rPr>
          <t xml:space="preserve">Whole breaches. The single canonical basis on which strategies are ranked, in this workbook and in the engine.</t>
        </r>
      </text>
    </comment>
    <comment ref="D31" authorId="0">
      <text>
        <r>
          <rPr>
            <sz val="10"/>
            <rFont val="Arial"/>
            <family val="2"/>
          </rPr>
          <t xml:space="preserve">Whole breaches. The single canonical basis on which strategies are ranked, in this workbook and in the engine.</t>
        </r>
      </text>
    </comment>
    <comment ref="D32" authorId="0">
      <text>
        <r>
          <rPr>
            <sz val="10"/>
            <rFont val="Arial"/>
            <family val="2"/>
          </rPr>
          <t xml:space="preserve">Whole breaches. The single canonical basis on which strategies are ranked, in this workbook and in the engine.</t>
        </r>
      </text>
    </comment>
    <comment ref="D33" authorId="0">
      <text>
        <r>
          <rPr>
            <sz val="10"/>
            <rFont val="Arial"/>
            <family val="2"/>
          </rPr>
          <t xml:space="preserve">Whole breaches. The single canonical basis on which strategies are ranked, in this workbook and in the engine.</t>
        </r>
      </text>
    </comment>
    <comment ref="D34" authorId="0">
      <text>
        <r>
          <rPr>
            <sz val="10"/>
            <rFont val="Arial"/>
            <family val="2"/>
          </rPr>
          <t xml:space="preserve">Whole breaches. The single canonical basis on which strategies are ranked, in this workbook and in the engine.</t>
        </r>
      </text>
    </comment>
    <comment ref="D35" authorId="0">
      <text>
        <r>
          <rPr>
            <sz val="10"/>
            <rFont val="Arial"/>
            <family val="2"/>
          </rPr>
          <t xml:space="preserve">Whole breaches. The single canonical basis on which strategies are ranked, in this workbook and in the engine.</t>
        </r>
      </text>
    </comment>
    <comment ref="D36" authorId="0">
      <text>
        <r>
          <rPr>
            <sz val="10"/>
            <rFont val="Arial"/>
            <family val="2"/>
          </rPr>
          <t xml:space="preserve">Whole breaches. The single canonical basis on which strategies are ranked, in this workbook and in the engine.</t>
        </r>
      </text>
    </comment>
    <comment ref="D37" authorId="0">
      <text>
        <r>
          <rPr>
            <sz val="10"/>
            <rFont val="Arial"/>
            <family val="2"/>
          </rPr>
          <t xml:space="preserve">Whole breaches. The single canonical basis on which strategies are ranked, in this workbook and in the engine.</t>
        </r>
      </text>
    </comment>
    <comment ref="D38" authorId="0">
      <text>
        <r>
          <rPr>
            <sz val="10"/>
            <rFont val="Arial"/>
            <family val="2"/>
          </rPr>
          <t xml:space="preserve">Whole breaches. The single canonical basis on which strategies are ranked, in this workbook and in the engine.</t>
        </r>
      </text>
    </comment>
    <comment ref="D39" authorId="0">
      <text>
        <r>
          <rPr>
            <sz val="10"/>
            <rFont val="Arial"/>
            <family val="2"/>
          </rPr>
          <t xml:space="preserve">Whole breaches. The single canonical basis on which strategies are ranked, in this workbook and in the engine.</t>
        </r>
      </text>
    </comment>
    <comment ref="D40" authorId="0">
      <text>
        <r>
          <rPr>
            <sz val="10"/>
            <rFont val="Arial"/>
            <family val="2"/>
          </rPr>
          <t xml:space="preserve">Whole breaches. The single canonical basis on which strategies are ranked, in this workbook and in the engine.</t>
        </r>
      </text>
    </comment>
    <comment ref="D41" authorId="0">
      <text>
        <r>
          <rPr>
            <sz val="10"/>
            <rFont val="Arial"/>
            <family val="2"/>
          </rPr>
          <t xml:space="preserve">Whole breaches. The single canonical basis on which strategies are ranked, in this workbook and in the engine.</t>
        </r>
      </text>
    </comment>
    <comment ref="D42" authorId="0">
      <text>
        <r>
          <rPr>
            <sz val="10"/>
            <rFont val="Arial"/>
            <family val="2"/>
          </rPr>
          <t xml:space="preserve">Whole breaches. The single canonical basis on which strategies are ranked, in this workbook and in the engine.</t>
        </r>
      </text>
    </comment>
    <comment ref="D43" authorId="0">
      <text>
        <r>
          <rPr>
            <sz val="10"/>
            <rFont val="Arial"/>
            <family val="2"/>
          </rPr>
          <t xml:space="preserve">Whole breaches. The single canonical basis on which strategies are ranked, in this workbook and in the engine.</t>
        </r>
      </text>
    </comment>
    <comment ref="D44" authorId="0">
      <text>
        <r>
          <rPr>
            <sz val="10"/>
            <rFont val="Arial"/>
            <family val="2"/>
          </rPr>
          <t xml:space="preserve">Whole breaches. The single canonical basis on which strategies are ranked, in this workbook and in the engine.</t>
        </r>
      </text>
    </comment>
    <comment ref="I5"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6"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7"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8"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9"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10"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11"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12"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13"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14"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15"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16"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17"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18"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19"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20"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21"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22"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23"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24"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25"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26"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27"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28"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29"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30"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31"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32"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33"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34"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35"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36"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37"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38"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39"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40"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41"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42"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43"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 ref="I44" authorId="0">
      <text>
        <r>
          <rPr>
            <sz val="10"/>
            <rFont val="Arial"/>
            <family val="2"/>
          </rPr>
          <t xml:space="preserve">Share of delivered capacity resting on the two levers whose capacity assumptions are unsourced analyst estimates (independent-sector headroom, diagnostic conversion). Lower is safer.</t>
        </r>
      </text>
    </comment>
  </commentList>
</comments>
</file>

<file path=xl/sharedStrings.xml><?xml version="1.0" encoding="utf-8"?>
<sst xmlns="http://schemas.openxmlformats.org/spreadsheetml/2006/main" count="543" uniqueCount="316">
  <si>
    <t xml:space="preserve">Elective Capacity: Scenario and Strategy Model</t>
  </si>
  <si>
    <t xml:space="preserve">NHS Cheshire and Merseyside ICB (QYG). 12 core acute and specialist trusts, 18 months to September 2027</t>
  </si>
  <si>
    <t xml:space="preserve">What this model is for</t>
  </si>
  <si>
    <t xml:space="preserve">Phase 3 of this programme produced a single optimal allocation of a fixed budget across three capacity levers. That answer depends on seven parameters, four of which are analyst estimates rather than sourced figures. This model asks the question the optimiser cannot: given that uncertainty, which commitment should the ICB actually make, and what would have to be observed for that commitment to be wrong.</t>
  </si>
  <si>
    <t xml:space="preserve">What it is not</t>
  </si>
  <si>
    <t xml:space="preserve">It is not a forecast and it does not assign probabilities to the scenarios. Scenarios here are tests of plausibility, in the intuitive-logics tradition, not predictions.</t>
  </si>
  <si>
    <t xml:space="preserve">How to use it</t>
  </si>
  <si>
    <t xml:space="preserve">Start at Recommendation. Decision Analysis holds the objective weights in yellow cells. Change them and the strategy ordering recalculates. Early Warning lists the indicators to refresh monthly, and Results Grid holds the underlying numbers.</t>
  </si>
  <si>
    <t xml:space="preserve">Reading the colours</t>
  </si>
  <si>
    <t xml:space="preserve">Blue figures are inputs computed by the linear programme outside this workbook and cannot be reproduced by Excel formulas. Black figures are calculated live inside the workbook. Amber italics mark analyst judgement rather than computation. Yellow cells are for the user to change.</t>
  </si>
  <si>
    <t xml:space="preserve">Provenance</t>
  </si>
  <si>
    <t xml:space="preserve">All activity, workforce, bed and deprivation data is drawn from the project warehouse (NHS England RTT, DM01, KH03, Workforce Statistics, IMD 2019). Unit costs are from the National Cost Collection 2024/25 and the 2025/26 NHS Payment Scheme. Every parameter carries an evidence grade on the Driving Forces tab.</t>
  </si>
  <si>
    <t xml:space="preserve">The one figure with no source</t>
  </si>
  <si>
    <t xml:space="preserve">The diagnostic lever is priced using an assumed 1.75 diagnostic tests per unlocked pathway. No NHS dataset publishes this ratio. The scenario analysis shows the whole recommendation turns on it, so it is triangulated against observed data on the Diagnostic Triangulation tab and monitored as flag F2.</t>
  </si>
  <si>
    <t xml:space="preserve">Known limitation</t>
  </si>
  <si>
    <t xml:space="preserve">The linear programme has multiple equally optimal solutions whenever two levers are priced identically. Provider-level allocations are therefore not unique. Totals, constraint satisfaction, the equity figures and the delivery-risk figures are reliable. Each is pinned by a hierarchical solve that maximises volume, then equity within that, then minimises reliance on the weakest-evidenced levers within that. A specific provider-by-provider split is still not unique and must not be used as a distribution plan.</t>
  </si>
  <si>
    <t xml:space="preserve">Method basis</t>
  </si>
  <si>
    <t xml:space="preserve">Cairns, G. and Wright, G. (2018) Scenario Thinking, 2nd ed., Palgrave Macmillan. Ch.2 basic method, Ch.5 sum-of-ranks decision analysis, Ch.8 robust strategy and flags. Sminia, H. (2026) "From Scenario Thinking to Scenario Doing: Strategic Management as Wayfinding", Futures &amp; Foresight Science 8:e70038. Sminia, H. (2022) The Strategic Manager, 3rd ed., Ch.7 for the institutional feasibility screen.</t>
  </si>
  <si>
    <t xml:space="preserve">Stages 2-4: Driving Forces and Their Plausible Range</t>
  </si>
  <si>
    <t xml:space="preserve">Environmental uncertainties the ICB does not control. Equity stringency is excluded deliberately. It is a policy choice the ICB does control, so it is modelled as a dimension of strategy instead.</t>
  </si>
  <si>
    <t xml:space="preserve">Cluster</t>
  </si>
  <si>
    <t xml:space="preserve">PESTEL</t>
  </si>
  <si>
    <t xml:space="preserve">What it is</t>
  </si>
  <si>
    <t xml:space="preserve">Low</t>
  </si>
  <si>
    <t xml:space="preserve">Base</t>
  </si>
  <si>
    <t xml:space="preserve">High</t>
  </si>
  <si>
    <t xml:space="preserve">Low outcome</t>
  </si>
  <si>
    <t xml:space="preserve">High outcome</t>
  </si>
  <si>
    <t xml:space="preserve">Evidence grade and basis</t>
  </si>
  <si>
    <t xml:space="preserve">Funding settlement</t>
  </si>
  <si>
    <t xml:space="preserve">Political / Economic</t>
  </si>
  <si>
    <t xml:space="preserve">Elective recovery funding envelope available to the ICB (18 months)</t>
  </si>
  <si>
    <t xml:space="preserve">£7.5m — constrained settlement</t>
  </si>
  <si>
    <t xml:space="preserve">£30m — expanded recovery funding</t>
  </si>
  <si>
    <t xml:space="preserve">Grade 4. No ICB-level elective recovery budget is published at any level. The Phase 3 default of £15m was set as an illustrative, deliberately binding envelope, never as a sourced figure. Range spans half to double that anchor.</t>
  </si>
  <si>
    <t xml:space="preserve">Diagnostic conversion</t>
  </si>
  <si>
    <t xml:space="preserve">Technological</t>
  </si>
  <si>
    <t xml:space="preserve">Diagnostic tests required to unlock one completed RTT pathway</t>
  </si>
  <si>
    <t xml:space="preserve">1.25 — efficient conversion</t>
  </si>
  <si>
    <t xml:space="preserve">3.50 — test-heavy pathways</t>
  </si>
  <si>
    <t xml:space="preserve">Grade 4. The single remaining unsourced figure in the Phase 3 cost model, flagged as such throughout. No NHS dataset publishes this ratio. It sets the unit cost of the diagnostic lever and therefore how much capacity a given budget buys through it. The upper bound is set at 3.50 deliberately: the diagnostic and treatment levers are indifferent at 3.34 tests per pathway (see tipping_points()), and a range that stopped short of that point would conceal the only decision in the model rather than test it. Three or more tests to reach a treatment decision is clinically ordinary on complex pathways, so the bound is plausible as well as convenient.</t>
  </si>
  <si>
    <t xml:space="preserve">Payment policy and cost base</t>
  </si>
  <si>
    <t xml:space="preserve">Political / Legal</t>
  </si>
  <si>
    <t xml:space="preserve">Unit cost of elective activity relative to NCC 2024/25 baseline</t>
  </si>
  <si>
    <t xml:space="preserve">-10% — costs contained</t>
  </si>
  <si>
    <t xml:space="preserve">+20% — cost or policy inflation</t>
  </si>
  <si>
    <t xml:space="preserve">Grade 1. Unit costs are sourced from NCC 2024/25 and the 2025/26 NHS Payment Scheme. Graded low-uncertainty on provenance, but ranged anyway: the removal of the ERF marginal-rate mechanism for 2025/26 is direct evidence that payment policy does change materially between years.</t>
  </si>
  <si>
    <t xml:space="preserve">Backlog trajectory</t>
  </si>
  <si>
    <t xml:space="preserve">Social / Economic</t>
  </si>
  <si>
    <t xml:space="preserve">Over-52-week backlog to be cleared, relative to central forecast</t>
  </si>
  <si>
    <t xml:space="preserve">p5 — backlog undershoots forecast</t>
  </si>
  <si>
    <t xml:space="preserve">p95 — backlog overshoots forecast</t>
  </si>
  <si>
    <t xml:space="preserve">Grade 2. Taken directly from the Phase 2 Monte Carlo waiting-list forecast: the ratio of the p5 and p95 ICB totals to the p50 total at horizon end (September 2027). Measured, not assumed.</t>
  </si>
  <si>
    <t xml:space="preserve">Independent-sector capacity</t>
  </si>
  <si>
    <t xml:space="preserve">Economic / Political</t>
  </si>
  <si>
    <t xml:space="preserve">Independent-sector headroom above current NHS-funded activity</t>
  </si>
  <si>
    <t xml:space="preserve">+20% — sector at practical capacity</t>
  </si>
  <si>
    <t xml:space="preserve">+80% — sector scales readily</t>
  </si>
  <si>
    <t xml:space="preserve">Grade 4. Analyst assumption from Phase 3, chosen on the reasoning that the independent sector is more scalable short-term than NHS in-house capacity. No published measure of independent-sector spare elective capacity for this ICB exists.</t>
  </si>
  <si>
    <t xml:space="preserve">NHS productivity</t>
  </si>
  <si>
    <t xml:space="preserve">Technological / Social</t>
  </si>
  <si>
    <t xml:space="preserve">Achievable uplift in NHS in-house elective completions</t>
  </si>
  <si>
    <t xml:space="preserve">+5% — productivity stalls</t>
  </si>
  <si>
    <t xml:space="preserve">+25% — sustained productivity gain</t>
  </si>
  <si>
    <t xml:space="preserve">Grade 3. Anchored on the Elective Recovery Fund's own national 10% activity increase target plus a buffer. Policy-anchored, but the achievable rate for these specific trusts is not published.</t>
  </si>
  <si>
    <t xml:space="preserve">Evidence grading rubric</t>
  </si>
  <si>
    <t xml:space="preserve">Grade 1</t>
  </si>
  <si>
    <t xml:space="preserve">Sourced — published national dataset covering the current period (NCC 2024/25; NHS Payment Scheme 2025/26).</t>
  </si>
  <si>
    <t xml:space="preserve">Grade 2</t>
  </si>
  <si>
    <t xml:space="preserve">Measured — derived from this warehouse's own observed data with a quantified interval attached (Phase 2 Monte Carlo forecast).</t>
  </si>
  <si>
    <t xml:space="preserve">Grade 3</t>
  </si>
  <si>
    <t xml:space="preserve">Anchored estimate — extrapolated from warehouse data or from a stated national policy target, but not itself a published figure.</t>
  </si>
  <si>
    <t xml:space="preserve">Grade 4</t>
  </si>
  <si>
    <t xml:space="preserve">Unsourced estimate — analyst judgement with no published source, or a quantity for which no public figure exists at any level.</t>
  </si>
  <si>
    <t xml:space="preserve">Stage 5: Impact / Uncertainty Matrix</t>
  </si>
  <si>
    <t xml:space="preserve">The impact axis is computed, not judged. It is the swing in breaches cleared when each driving force moves across its range with all others held at base. The uncertainty axis is the evidence grade. Criticality is the product of the two, normalised.</t>
  </si>
  <si>
    <t xml:space="preserve">Breaches cleared at low</t>
  </si>
  <si>
    <t xml:space="preserve">At base</t>
  </si>
  <si>
    <t xml:space="preserve">At high</t>
  </si>
  <si>
    <t xml:space="preserve">Swing (impact)</t>
  </si>
  <si>
    <t xml:space="preserve">Impact, normalised</t>
  </si>
  <si>
    <t xml:space="preserve">Uncertainty, normalised</t>
  </si>
  <si>
    <t xml:space="preserve">Criticality</t>
  </si>
  <si>
    <t xml:space="preserve">Selected scenario factors</t>
  </si>
  <si>
    <t xml:space="preserve">Factor A</t>
  </si>
  <si>
    <t xml:space="preserve">Factor B</t>
  </si>
  <si>
    <t xml:space="preserve">The most important result on this tab</t>
  </si>
  <si>
    <t xml:space="preserve">Three of the six candidate driving forces move the outcome by nothing at all. Independent-sector scalability, NHS in-house productivity and the size of the backlog itself have zero effect on how many breaches the programme clears, at any funding level in scope. The reason is structural: no capacity ceiling binds until the envelope reaches £31.9m (independent sector), £69.7m (diagnostic) or £107.1m (in-house), all above the range under consideration. Within that range this is not a capacity-constrained problem at all. It is a money-constrained one. Three long-running debates are therefore not live decisions, and the scenario set does not spend effort on them.</t>
  </si>
  <si>
    <t xml:space="preserve">Anchor-stability check</t>
  </si>
  <si>
    <t xml:space="preserve">Swing at base anchor</t>
  </si>
  <si>
    <t xml:space="preserve">Swing at diagnostic-high anchor</t>
  </si>
  <si>
    <t xml:space="preserve">Criticality at base</t>
  </si>
  <si>
    <t xml:space="preserve">Criticality at alt</t>
  </si>
  <si>
    <t xml:space="preserve">State-dependent?</t>
  </si>
  <si>
    <t xml:space="preserve">No</t>
  </si>
  <si>
    <t xml:space="preserve">A one-at-a-time tornado is only valid at the point it is evaluated. The sweep was re-run from the far corner of the most critical driver to check that no force is being recorded as inert only because of where the analysis was anchored. None flipped.</t>
  </si>
  <si>
    <t xml:space="preserve">Where the Answer Becomes a Different Answer</t>
  </si>
  <si>
    <t xml:space="preserve">A sensitivity range says how far the outcome moves. A tipping point says where the optimal lever mix changes shape. Found by bisection on the spend mix.</t>
  </si>
  <si>
    <t xml:space="preserve">Base assumption</t>
  </si>
  <si>
    <t xml:space="preserve">Tipping point</t>
  </si>
  <si>
    <t xml:space="preserve">Finding</t>
  </si>
  <si>
    <t xml:space="preserve">n/a</t>
  </si>
  <si>
    <t xml:space="preserve">none in range</t>
  </si>
  <si>
    <t xml:space="preserve">No change in the optimal lever mix anywhere in the plausible range.</t>
  </si>
  <si>
    <t xml:space="preserve">Optimal lever mix changes shape at 3.343 (base assumption 1.75).</t>
  </si>
  <si>
    <t xml:space="preserve">Why this matters</t>
  </si>
  <si>
    <t xml:space="preserve">Exactly one parameter in the model has a tipping point inside its plausible range, and it is the one parameter with no published source. Below 3.34 diagnostic tests per unlocked pathway, diagnostics are the cheapest route to a cleared pathway and the programme should be diagnostic-led. Above it, the diagnostic lever is dominated and the programme should buy treatment capacity instead. The working assumption of 1.75 sits below the threshold, and observed data (see Diagnostic Triangulation) sits lower still. But the entire allocation rests on which side of 3.34 the true value falls.</t>
  </si>
  <si>
    <t xml:space="preserve">Stages 6-7: The Scenario Set</t>
  </si>
  <si>
    <t xml:space="preserve">Four scenarios framed from the extremes of Factors A and B, plus the central case carried as a reference baseline.</t>
  </si>
  <si>
    <t xml:space="preserve">Code</t>
  </si>
  <si>
    <t xml:space="preserve">Name</t>
  </si>
  <si>
    <t xml:space="preserve">Factor A: Funding settlement</t>
  </si>
  <si>
    <t xml:space="preserve">Factor B: Diagnostic conversion</t>
  </si>
  <si>
    <t xml:space="preserve">Funding envelope</t>
  </si>
  <si>
    <t xml:space="preserve">Tests per pathway</t>
  </si>
  <si>
    <t xml:space="preserve">A1B1</t>
  </si>
  <si>
    <t xml:space="preserve">Lean money, efficient diagnostics</t>
  </si>
  <si>
    <t xml:space="preserve">A1B2</t>
  </si>
  <si>
    <t xml:space="preserve">Lean money, test-heavy pathways</t>
  </si>
  <si>
    <t xml:space="preserve">A2B1</t>
  </si>
  <si>
    <t xml:space="preserve">Funded recovery, efficient diagnostics</t>
  </si>
  <si>
    <t xml:space="preserve">A2B2</t>
  </si>
  <si>
    <t xml:space="preserve">Funded recovery, test-heavy pathways</t>
  </si>
  <si>
    <t xml:space="preserve">BASE</t>
  </si>
  <si>
    <t xml:space="preserve">Central case (reference)</t>
  </si>
  <si>
    <t xml:space="preserve">central</t>
  </si>
  <si>
    <t xml:space="preserve">Scenarios are not weighted by probability. In the intuitive-logics tradition they test plausibility, and a strategy that only works in the scenario judged most likely is precisely the failure mode the method exists to catch.</t>
  </si>
  <si>
    <t xml:space="preserve">Stage 3: Candidate Strategies</t>
  </si>
  <si>
    <t xml:space="preserve">Each strategy is a commitment expressed as a constraint set over the same linear programme, so all are evaluated on identical terms. The last three columns are analyst judgement, not computation.</t>
  </si>
  <si>
    <t xml:space="preserve">Strategy</t>
  </si>
  <si>
    <t xml:space="preserve">What it commits to</t>
  </si>
  <si>
    <t xml:space="preserve">Why it is on the list</t>
  </si>
  <si>
    <t xml:space="preserve">Flexible (1-5)</t>
  </si>
  <si>
    <t xml:space="preserve">Insurable (1-5)</t>
  </si>
  <si>
    <t xml:space="preserve">Institutional feasibility</t>
  </si>
  <si>
    <t xml:space="preserve">S0</t>
  </si>
  <si>
    <t xml:space="preserve">Hold position</t>
  </si>
  <si>
    <t xml:space="preserve">Commit no additional recovery funding. The backlog follows its business-as-usual trajectory.</t>
  </si>
  <si>
    <t xml:space="preserve">Included because a do-nothing baseline is the only way to state what the other strategies buy. In wayfinding terms this is the practical-coping trajectory the ICB is already on.</t>
  </si>
  <si>
    <t xml:space="preserve">High legitimacy risk. Regulator and public expectation is visible action on 52-week waits; inaction is not a defensible position even where it is affordable.</t>
  </si>
  <si>
    <t xml:space="preserve">S1</t>
  </si>
  <si>
    <t xml:space="preserve">Unconstrained optimisation</t>
  </si>
  <si>
    <t xml:space="preserve">Allocate the full envelope wherever the model says it clears the most breaches, with the standing 15pp equity tolerance.</t>
  </si>
  <si>
    <t xml:space="preserve">The Phase 3 answer, carried forward unchanged so that the value of every added constraint can be read off against it.</t>
  </si>
  <si>
    <t xml:space="preserve">Moderate risk. An allocation that changes shape whenever an input is revised is difficult to defend to provider boards, who experience it as arbitrary.</t>
  </si>
  <si>
    <t xml:space="preserve">S2</t>
  </si>
  <si>
    <t xml:space="preserve">NHS delivery only</t>
  </si>
  <si>
    <t xml:space="preserve">Deliver recovery entirely through NHS providers — in-house treatment capacity or diagnostic capacity. No independent-sector outsourcing.</t>
  </si>
  <si>
    <t xml:space="preserve">Tests the position that recovery money should build durable NHS capability rather than buy activity that leaves no residue.</t>
  </si>
  <si>
    <t xml:space="preserve">High legitimacy within the provider field; aligns with professional and staff-side expectations about where recovery money should go.</t>
  </si>
  <si>
    <t xml:space="preserve">S3</t>
  </si>
  <si>
    <t xml:space="preserve">No in-house expansion</t>
  </si>
  <si>
    <t xml:space="preserve">Deliver recovery by buying independent-sector activity and by unlocking diagnostics. No expansion of in-house treatment capacity.</t>
  </si>
  <si>
    <t xml:space="preserve">Tests the opposite position: fastest access to activity, no long-term cost base.</t>
  </si>
  <si>
    <t xml:space="preserve">Contested. Independent-sector reliance is politically sensitive within the NHS field and attracts staff-side objection even where it performs.</t>
  </si>
  <si>
    <t xml:space="preserve">S4</t>
  </si>
  <si>
    <t xml:space="preserve">Diagnostic-led recovery</t>
  </si>
  <si>
    <t xml:space="preserve">Direct at least half the envelope to diagnostic capacity, on the basis that diagnostics gate the pathway.</t>
  </si>
  <si>
    <t xml:space="preserve">Tests whether unlocking the diagnostic constraint clears more pathways per pound than adding treatment capacity directly.</t>
  </si>
  <si>
    <t xml:space="preserve">Strong legitimacy — matches the national diagnostic-capacity policy direction and is readily explained to boards.</t>
  </si>
  <si>
    <t xml:space="preserve">S5</t>
  </si>
  <si>
    <t xml:space="preserve">Equity-first</t>
  </si>
  <si>
    <t xml:space="preserve">Require higher-deprivation providers to receive at least their baseline share of the breaches cleared. No equity tolerance.</t>
  </si>
  <si>
    <t xml:space="preserve">Tests the cost of removing the 15pp tolerance and holding a hard proportionality floor instead.</t>
  </si>
  <si>
    <t xml:space="preserve">Strong legitimacy. Directly answers the statutory duty to reduce inequalities in access and is straightforward to evidence.</t>
  </si>
  <si>
    <t xml:space="preserve">S7</t>
  </si>
  <si>
    <t xml:space="preserve">Treatment capacity only</t>
  </si>
  <si>
    <t xml:space="preserve">Fund treatment capacity — in-house or independent sector — and nothing through the diagnostic lever.</t>
  </si>
  <si>
    <t xml:space="preserve">The counterpart to S4, and the strategy that prices the diagnostic bet. Because the diagnostic lever rests entirely on the one unsourced parameter in the model, this shows what the programme delivers if that assumption is set aside altogether.</t>
  </si>
  <si>
    <t xml:space="preserve">Low risk but low ambition. Treats the diagnostic constraint as fixed, which sits awkwardly against national policy emphasis on diagnostic capacity.</t>
  </si>
  <si>
    <t xml:space="preserve">S6</t>
  </si>
  <si>
    <t xml:space="preserve">Diversified hedge</t>
  </si>
  <si>
    <t xml:space="preserve">Cap any single lever at 50% of spend, so the programme is never more than half exposed to one delivery assumption.</t>
  </si>
  <si>
    <t xml:space="preserve">Constructed against the Ch.8 principle that keeping options open beats optimising to a single expected case when the key inputs are weakly evidenced.</t>
  </si>
  <si>
    <t xml:space="preserve">Defensible. Spreads exposure across the competing positions in the field rather than adjudicating between them.</t>
  </si>
  <si>
    <t xml:space="preserve">Flexible and insurable follow Wright and Goodwin (2009), reported in Cairns and Wright (2018) Ch.8: is the commitment scalable up or down once made, and can its downside be capped contractually. Institutional feasibility follows Sminia (2022) Ch.7. An allocation that violates the legitimacy expectations of the NHS field will not be enacted however well it scores, so it is screened separately rather than blended into the same weighted total.</t>
  </si>
  <si>
    <t xml:space="preserve">Strategy x Scenario Results</t>
  </si>
  <si>
    <t xml:space="preserve">Every cell is a separate solve of the same linear programme. Blue figures come from the solver; black figures are derived here.</t>
  </si>
  <si>
    <t xml:space="preserve">Scenario</t>
  </si>
  <si>
    <t xml:space="preserve">Breaches cleared</t>
  </si>
  <si>
    <t xml:space="preserve">Cleared in higher-deprivation trusts</t>
  </si>
  <si>
    <t xml:space="preserve">Equity share</t>
  </si>
  <si>
    <t xml:space="preserve">Total cost</t>
  </si>
  <si>
    <t xml:space="preserve">Breaches per £1m</t>
  </si>
  <si>
    <t xml:space="preserve">Delivery-risk exposure</t>
  </si>
  <si>
    <t xml:space="preserve">Share of baseline cleared</t>
  </si>
  <si>
    <t xml:space="preserve">Ch.5 Sum-of-Ranks Decision Analysis</t>
  </si>
  <si>
    <t xml:space="preserve">Every strategy-scenario combination is ranked against every other on each objective, and the ranks are summed per strategy. Lower total is better. Change the weights in the yellow cells and the ordering recalculates.</t>
  </si>
  <si>
    <t xml:space="preserve">Objective weights</t>
  </si>
  <si>
    <t xml:space="preserve">Objective</t>
  </si>
  <si>
    <t xml:space="preserve">Direction</t>
  </si>
  <si>
    <t xml:space="preserve">Weight</t>
  </si>
  <si>
    <t xml:space="preserve">maximise</t>
  </si>
  <si>
    <t xml:space="preserve">minimise</t>
  </si>
  <si>
    <t xml:space="preserve">Rank: breaches</t>
  </si>
  <si>
    <t xml:space="preserve">Rank: equity</t>
  </si>
  <si>
    <t xml:space="preserve">Rank: value for money</t>
  </si>
  <si>
    <t xml:space="preserve">Rank: delivery risk</t>
  </si>
  <si>
    <t xml:space="preserve">Weighted sum</t>
  </si>
  <si>
    <t xml:space="preserve">Total by strategy (lower is better)</t>
  </si>
  <si>
    <t xml:space="preserve">Sum of ranks</t>
  </si>
  <si>
    <t xml:space="preserve">Ordering</t>
  </si>
  <si>
    <t xml:space="preserve">Weight sensitivity: does the ordering survive a different priority?</t>
  </si>
  <si>
    <t xml:space="preserve">Weighting tested</t>
  </si>
  <si>
    <t xml:space="preserve">Resulting order, best to worst</t>
  </si>
  <si>
    <t xml:space="preserve">Equal weights (as set above)</t>
  </si>
  <si>
    <t xml:space="preserve">S1 &gt; S2 &gt; S5 &gt; S7 &gt; S3 &gt; S4 &gt; S6 &gt; S0</t>
  </si>
  <si>
    <t xml:space="preserve">breaches cleared x2</t>
  </si>
  <si>
    <t xml:space="preserve">breaches cleared x3</t>
  </si>
  <si>
    <t xml:space="preserve">S1 &gt; S2 &gt; S5 &gt; S3 &gt; S7 &gt; S4 &gt; S6 &gt; S0</t>
  </si>
  <si>
    <t xml:space="preserve">breaches cleared higher deprivation x2</t>
  </si>
  <si>
    <t xml:space="preserve">breaches cleared higher deprivation x3</t>
  </si>
  <si>
    <t xml:space="preserve">breaches per million x2</t>
  </si>
  <si>
    <t xml:space="preserve">breaches per million x3</t>
  </si>
  <si>
    <t xml:space="preserve">delivery risk exposure x2</t>
  </si>
  <si>
    <t xml:space="preserve">S7 &gt; S1 &gt; S2 &gt; S5 &gt; S3 &gt; S4 &gt; S6 &gt; S0</t>
  </si>
  <si>
    <t xml:space="preserve">delivery risk exposure x3</t>
  </si>
  <si>
    <t xml:space="preserve">S7 &gt; S1 &gt; S2 &gt; S5 &gt; S0 &gt; S4 &gt; S3 &gt; S6</t>
  </si>
  <si>
    <t xml:space="preserve">Two strategies take first place across these tests: S1, S7. S1 (and its identical twins S2 and S5) leads on every weighting of the three outcome objectives; S7 leads whenever delivery risk is weighted at twice or three times the others. The ordering is therefore NOT weight-stable, and that is the finding. The choice depends on the Board's appetite for exposure to unsourced delivery assumptions, and cannot be settled by the arithmetic.</t>
  </si>
  <si>
    <t xml:space="preserve">Ch.8 Minimax Regret</t>
  </si>
  <si>
    <t xml:space="preserve">Regret is the breaches a strategy gives up, in a given scenario, against the best that could have been done in that scenario. A minimax-regret strategy is the one whose worst case across scenarios is least bad.</t>
  </si>
  <si>
    <t xml:space="preserve">Regret: A1B1</t>
  </si>
  <si>
    <t xml:space="preserve">Regret: A1B2</t>
  </si>
  <si>
    <t xml:space="preserve">Regret: A2B1</t>
  </si>
  <si>
    <t xml:space="preserve">Regret: A2B2</t>
  </si>
  <si>
    <t xml:space="preserve">Regret: BASE</t>
  </si>
  <si>
    <t xml:space="preserve">Worst-case regret</t>
  </si>
  <si>
    <t xml:space="preserve">Read alongside the sum-of-ranks table rather than instead of it. Minimax regret looks only at breaches cleared and is indifferent to equity, value for money and delivery risk; several strategies tie at effectively zero regret because they reach the same volume by different routes. It is the tie-break, not the decision.</t>
  </si>
  <si>
    <t xml:space="preserve">Ch.8 Early-Warning Flags</t>
  </si>
  <si>
    <t xml:space="preserve">What to measure each month to know which scenario is actually arriving. Restricted to quantities the warehouse holds; where none exists, the gap is stated rather than filled with a proxy.</t>
  </si>
  <si>
    <t xml:space="preserve">Flag</t>
  </si>
  <si>
    <t xml:space="preserve">Factor</t>
  </si>
  <si>
    <t xml:space="preserve">Indicator</t>
  </si>
  <si>
    <t xml:space="preserve">Source</t>
  </si>
  <si>
    <t xml:space="preserve">Current value</t>
  </si>
  <si>
    <t xml:space="preserve">Trigger</t>
  </si>
  <si>
    <t xml:space="preserve">Action if triggered</t>
  </si>
  <si>
    <t xml:space="preserve">F1</t>
  </si>
  <si>
    <t xml:space="preserve">Funding settlement (Factor A)</t>
  </si>
  <si>
    <t xml:space="preserve">Confirmed elective recovery envelope for the ICB, 18 months to Sep-2027</t>
  </si>
  <si>
    <t xml:space="preserve">NOT IN WAREHOUSE — NHS England allocation and planning guidance; ICB finance ledger</t>
  </si>
  <si>
    <t xml:space="preserve">not observable from warehouse</t>
  </si>
  <si>
    <t xml:space="preserve">Envelope confirmed below £10m, or above £25m</t>
  </si>
  <si>
    <t xml:space="preserve">Re-run the grid at the confirmed envelope. This is the highest-impact uncertainty in the model and the only one with no internal data source, so it must be tracked through the finance route rather than the analytics one.</t>
  </si>
  <si>
    <t xml:space="preserve">F2</t>
  </si>
  <si>
    <t xml:space="preserve">Diagnostic conversion (Factor B)</t>
  </si>
  <si>
    <t xml:space="preserve">DM01 diagnostic tests per completed RTT pathway, 12 core trusts, monthly</t>
  </si>
  <si>
    <t xml:space="preserve">fact_dm01_provider_month.total_activity / fact_rtt_provider_specialty_month.completed_pathways_total</t>
  </si>
  <si>
    <t xml:space="preserve">0.84 (trailing 12 months); 0.76 across full window</t>
  </si>
  <si>
    <t xml:space="preserve">Sustained rise above 2.00 for three consecutive months triggers review; 3.34 is the point at which the optimal strategy changes shape entirely</t>
  </si>
  <si>
    <t xml:space="preserve">Above the tipping point the diagnostic lever is no longer the cheapest route to a cleared pathway and the programme should shift to treatment capacity. The observed proxy currently sits well below both thresholds.</t>
  </si>
  <si>
    <t xml:space="preserve">F3</t>
  </si>
  <si>
    <t xml:space="preserve">Diagnostic capacity headroom</t>
  </si>
  <si>
    <t xml:space="preserve">Share of the DM01 diagnostic waiting list waiting over six weeks</t>
  </si>
  <si>
    <t xml:space="preserve">fact_dm01_provider_month.waiting_list_over_6wk / waiting_list_size</t>
  </si>
  <si>
    <t xml:space="preserve">10.2% mean over the last 12 months, against 8.1% over the preceding 12</t>
  </si>
  <si>
    <t xml:space="preserve">A statistically significant upward trend sustained over two quarters, or the 12-month mean exceeding 15%</t>
  </si>
  <si>
    <t xml:space="preserve">The model assumes 10% headroom for additional diagnostic activity, so a deteriorating diagnostic waiting list would undercut the recommended strategy at source. Read the level, not the last data point: over the full window the series trends significantly DOWNWARD (-0.001 points per month, p=0.009), and over the last 24 months there is no significant trend either way (p=0.21) on a series with a standard deviation of about 2 points. The 12-month mean has stepped up by roughly 2 points, which is worth watching but is not evidence of deterioration.</t>
  </si>
  <si>
    <t xml:space="preserve">F4</t>
  </si>
  <si>
    <t xml:space="preserve">ICB total RTT waiting list against the Monte Carlo forecast band</t>
  </si>
  <si>
    <t xml:space="preserve">fact_rtt_provider_specialty_month vs fact_rtt_waitinglist_forecast_provider_month</t>
  </si>
  <si>
    <t xml:space="preserve">686,298 at Mar-2026; over-52-week waits 7,836</t>
  </si>
  <si>
    <t xml:space="preserve">Actual outside the p5–p95 band for two consecutive months</t>
  </si>
  <si>
    <t xml:space="preserve">Recalibrate the forecast. Note that backlog size has no effect on the optimal allocation at any funding level in scope — the budget clears far less than the backlog either way — so this flag governs the credibility of the stated ambition, not the choice of strategy.</t>
  </si>
  <si>
    <t xml:space="preserve">F5</t>
  </si>
  <si>
    <t xml:space="preserve">Independent-sector NHS-funded completed pathways, trailing six-month mean</t>
  </si>
  <si>
    <t xml:space="preserve">fact_rtt_provider_specialty_month, independent-sector providers</t>
  </si>
  <si>
    <t xml:space="preserve">7,510 per month</t>
  </si>
  <si>
    <t xml:space="preserve">Dormant below a £31.9m envelope</t>
  </si>
  <si>
    <t xml:space="preserve">The independent-sector capacity ceiling does not bind until the envelope exceeds £31.9m, above the top of the scenario range. Monitoring is not warranted at current funding levels and is recorded here so that the omission is deliberate rather than overlooked.</t>
  </si>
  <si>
    <t xml:space="preserve">F6</t>
  </si>
  <si>
    <t xml:space="preserve">NHS in-house capacity</t>
  </si>
  <si>
    <t xml:space="preserve">General and acute bed headroom (KH03) and consultant FTE</t>
  </si>
  <si>
    <t xml:space="preserve">fact_kh03_provider_quarter, fact_workforce_provider_year</t>
  </si>
  <si>
    <t xml:space="preserve">tracked in the Phase 3 model inputs</t>
  </si>
  <si>
    <t xml:space="preserve">Dormant below a £107.1m envelope</t>
  </si>
  <si>
    <t xml:space="preserve">As F5. The in-house capacity ceiling is an order of magnitude beyond any funding level under consideration and cannot bind.</t>
  </si>
  <si>
    <t xml:space="preserve">Closing the Last Unsourced Parameter</t>
  </si>
  <si>
    <t xml:space="preserve">The diagnostic lever is priced on an assumed 1.75 tests per unlocked pathway, with no published source. This tab tests that assumption against observed activity.</t>
  </si>
  <si>
    <t xml:space="preserve">Model assumption (tests per unlocked pathway)</t>
  </si>
  <si>
    <t xml:space="preserve">Analyst estimate carried since Phase 3. No NHS dataset publishes this ratio.</t>
  </si>
  <si>
    <t xml:space="preserve">Tipping point, strategy changes above this</t>
  </si>
  <si>
    <t xml:space="preserve">Computed by bisection. Above this value the diagnostic lever is dominated by treatment capacity and the recommended strategy changes.</t>
  </si>
  <si>
    <t xml:space="preserve">Observed, trailing 12 months</t>
  </si>
  <si>
    <t xml:space="preserve">DM01 total diagnostic activity divided by completed RTT pathways, 12 core trusts.</t>
  </si>
  <si>
    <t xml:space="preserve">Observed, full window</t>
  </si>
  <si>
    <t xml:space="preserve">Across 84 months of data.</t>
  </si>
  <si>
    <t xml:space="preserve">Observed minimum</t>
  </si>
  <si>
    <t xml:space="preserve">Lowest single month in the window.</t>
  </si>
  <si>
    <t xml:space="preserve">Observed maximum</t>
  </si>
  <si>
    <t xml:space="preserve">Highest single month. The observed ratio has never reached even half the tipping point.</t>
  </si>
  <si>
    <t xml:space="preserve">Why this does not settle the parameter</t>
  </si>
  <si>
    <t xml:space="preserve">•</t>
  </si>
  <si>
    <t xml:space="preserve">DM01 covers 15 test types and no pathology, so it understates total diagnostic input per pathway.</t>
  </si>
  <si>
    <t xml:space="preserve">Not every DM01 test sits on an RTT pathway, so it overstates the tests attributable to RTT completions.</t>
  </si>
  <si>
    <t xml:space="preserve">The model parameter is marginal (tests to unlock one additional pathway); this proxy is an average across all activity. They are different quantities.</t>
  </si>
  <si>
    <t xml:space="preserve">The two measurement biases run in opposite directions and neither is quantified, so no net correction is applied or implied.</t>
  </si>
  <si>
    <t xml:space="preserve">Conclusion</t>
  </si>
  <si>
    <t xml:space="preserve">The proxy does not settle the parameter and is not presented as doing so. It does establish that the observed DM01-to-completion ratio has never in 84 months of data approached the 3.34 level at which the recommended strategy would change. The direction of the recommendation is therefore better evidenced than the magnitude of the benefit it produces.</t>
  </si>
  <si>
    <t xml:space="preserve">Recommendation</t>
  </si>
  <si>
    <t xml:space="preserve">For the Elective Recovery Programme Board</t>
  </si>
  <si>
    <t xml:space="preserve">Commit to S2, NHS delivery only. Deliver the elective recovery programme entirely through NHS providers, weighted to diagnostic capacity while the conversion ratio holds, with no independent-sector outsourcing.</t>
  </si>
  <si>
    <t xml:space="preserve">Why this one, and what the model does and does not settle</t>
  </si>
  <si>
    <t xml:space="preserve">The analysis narrows the field to three commitments that are numerically identical: S1 unconstrained optimisation, S2 NHS delivery only, and S5 equity-first produce the same result on every objective in every scenario. Neither the outsourcing lock nor the equity floor binds, so the model is genuinely indifferent between them and cannot pick one. The tie is therefore broken on the ground the model does not capture: institutional legitimacy. Of the three, S2 is the most defensible to provider boards and staff side, and commits to nothing the other two would not also do.</t>
  </si>
  <si>
    <t xml:space="preserve">The one real trade-off</t>
  </si>
  <si>
    <t xml:space="preserve">S7, treatment capacity only, is the genuine alternative. It never touches the two levers whose capacity assumptions are unsourced, so it carries zero delivery-risk exposure in every scenario, and it takes first place whenever delivery risk is weighted at twice or three times the other objectives. It matches S2 on volume in two of the four scenarios. But where diagnostics are efficient it gives up a great deal: 26,581 fewer breaches cleared in the lean-money case and 106,324 fewer in the funded case. Choosing between S2 and S7 is a judgement about risk appetite, not a calculation, and the Board should make it as one.</t>
  </si>
  <si>
    <t xml:space="preserve">What the analysis rules out</t>
  </si>
  <si>
    <t xml:space="preserve">Three questions that have absorbed attention are not live decisions at these funding levels. Independent-sector scalability, NHS in-house productivity and the size of the backlog itself change the outcome by nothing, because no capacity ceiling binds below a £31.9m envelope. Within the range under consideration this is a money-constrained problem, not a capacity-constrained one.</t>
  </si>
  <si>
    <t xml:space="preserve">What the decision actually turns on</t>
  </si>
  <si>
    <t xml:space="preserve">One number: how many diagnostic tests it takes to unlock one additional completed pathway. Below 3.34, diagnostics are the cheapest route and the programme should be diagnostic-led. Above it, the programme should buy treatment capacity instead. The working assumption is 1.75. Observed DM01 activity per completed pathway is 0.84 and has never exceeded 0.92 in 84 months, well clear of the threshold, though the observed ratio is an average and the parameter is a marginal one, so it bounds the argument rather than settling it.</t>
  </si>
  <si>
    <t xml:space="preserve">The equity finding</t>
  </si>
  <si>
    <t xml:space="preserve">The equity tolerance in the Phase 3 model never binds. At every funding level examined, the entire reduction can be directed to higher-deprivation providers at no cost whatsoever to total breaches cleared, because the budget clears far less than those trusts alone are carrying. Equity here is not a trade-off to be managed. It is free, and the programme should be designed to take it.</t>
  </si>
  <si>
    <t xml:space="preserve">What would change this view</t>
  </si>
  <si>
    <t xml:space="preserve">Flag F2: the diagnostic conversion ratio rising above 2.00 for three consecutive months warrants review, and above 3.34 reverses the lever choice. Flag F3: the share of the diagnostic waiting list waiting over six weeks averaged 10.2% over the last twelve months against 8.1% over the preceding twelve. That step up is worth watching, because the recommended strategy assumes 10% headroom for additional diagnostic activity, but it should not be overstated. Over the full window the series trends significantly downward, and over the last 24 months there is no significant trend in either direction. Flag F1: the funding envelope is the single highest-impact uncertainty in the model and has no internal data source. It must be tracked through the finance route.</t>
  </si>
  <si>
    <t xml:space="preserve">Where the model stops</t>
  </si>
  <si>
    <t xml:space="preserve">Every strategy examined here is a different way of allocating a budget across three levers that already exist. At the funding levels in scope the best of them clears roughly a fifth of the projected over-52-week backlog. If the objective is to clear the backlog rather than to reduce it, no allocation of this envelope across these levers reaches that, and the question stops being an optimisation problem. That is a different kind of problem from the one this model solves, and it should be named as such rather than answered with a better-tuned version of the same answer.</t>
  </si>
</sst>
</file>

<file path=xl/styles.xml><?xml version="1.0" encoding="utf-8"?>
<styleSheet xmlns="http://schemas.openxmlformats.org/spreadsheetml/2006/main">
  <numFmts count="8">
    <numFmt numFmtId="164" formatCode="General"/>
    <numFmt numFmtId="165" formatCode="#,##0"/>
    <numFmt numFmtId="166" formatCode="0.000"/>
    <numFmt numFmtId="167" formatCode="\£#,##0"/>
    <numFmt numFmtId="168" formatCode="0.00"/>
    <numFmt numFmtId="169" formatCode="0"/>
    <numFmt numFmtId="170" formatCode="0.0%"/>
    <numFmt numFmtId="171" formatCode="#,##0.0"/>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11"/>
      <color rgb="FF1F3864"/>
      <name val="Arial"/>
      <family val="0"/>
      <charset val="1"/>
    </font>
    <font>
      <sz val="10"/>
      <name val="Arial"/>
      <family val="0"/>
      <charset val="1"/>
    </font>
    <font>
      <b val="true"/>
      <sz val="9"/>
      <color rgb="FFFFFFFF"/>
      <name val="Arial"/>
      <family val="0"/>
      <charset val="1"/>
    </font>
    <font>
      <b val="true"/>
      <sz val="10"/>
      <name val="Arial"/>
      <family val="0"/>
      <charset val="1"/>
    </font>
    <font>
      <sz val="10"/>
      <color rgb="FF0000FF"/>
      <name val="Arial"/>
      <family val="0"/>
      <charset val="1"/>
    </font>
    <font>
      <sz val="10"/>
      <name val="Arial"/>
      <family val="2"/>
    </font>
    <font>
      <sz val="10"/>
      <color rgb="FF000000"/>
      <name val="Arial"/>
      <family val="0"/>
      <charset val="1"/>
    </font>
    <font>
      <i val="true"/>
      <sz val="10"/>
      <color rgb="FF7F6000"/>
      <name val="Arial"/>
      <family val="0"/>
      <charset val="1"/>
    </font>
    <font>
      <b val="true"/>
      <sz val="10"/>
      <color rgb="FF0000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9E2F3"/>
        <bgColor rgb="FFF2F2F2"/>
      </patternFill>
    </fill>
    <fill>
      <patternFill patternType="solid">
        <fgColor rgb="FFFFFF00"/>
        <bgColor rgb="FFFFFF00"/>
      </patternFill>
    </fill>
    <fill>
      <patternFill patternType="solid">
        <fgColor rgb="FFF2F2F2"/>
        <bgColor rgb="FFFFFF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center" textRotation="0" wrapText="true" indent="1"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12" fillId="0" borderId="1" xfId="0" applyFont="true" applyBorder="true" applyAlignment="true" applyProtection="false">
      <alignment horizontal="general" vertical="top" textRotation="0" wrapText="false" indent="0" shrinkToFit="false"/>
      <protection locked="true" hidden="false"/>
    </xf>
    <xf numFmtId="166" fontId="12"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7" fontId="10" fillId="0" borderId="1" xfId="0" applyFont="true" applyBorder="true" applyAlignment="true" applyProtection="false">
      <alignment horizontal="general" vertical="top" textRotation="0" wrapText="false" indent="0" shrinkToFit="false"/>
      <protection locked="true" hidden="false"/>
    </xf>
    <xf numFmtId="168" fontId="10" fillId="0" borderId="1" xfId="0" applyFont="true" applyBorder="true" applyAlignment="true" applyProtection="false">
      <alignment horizontal="general" vertical="top" textRotation="0" wrapText="false" indent="0" shrinkToFit="false"/>
      <protection locked="true" hidden="false"/>
    </xf>
    <xf numFmtId="169" fontId="13" fillId="0" borderId="1" xfId="0" applyFont="tru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70" fontId="12" fillId="0" borderId="1" xfId="0" applyFont="true" applyBorder="true" applyAlignment="true" applyProtection="false">
      <alignment horizontal="general" vertical="top" textRotation="0" wrapText="false" indent="0" shrinkToFit="false"/>
      <protection locked="true" hidden="false"/>
    </xf>
    <xf numFmtId="171" fontId="12" fillId="0" borderId="1" xfId="0" applyFont="true" applyBorder="true" applyAlignment="true" applyProtection="false">
      <alignment horizontal="general" vertical="top" textRotation="0" wrapText="false" indent="0" shrinkToFit="false"/>
      <protection locked="true" hidden="false"/>
    </xf>
    <xf numFmtId="170" fontId="10" fillId="0"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9" fontId="14" fillId="4"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9" fontId="12"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5"/>
  </cols>
  <sheetData>
    <row r="1" customFormat="false" ht="25.5" hidden="false" customHeight="true" outlineLevel="0" collapsed="false">
      <c r="A1" s="1" t="s">
        <v>0</v>
      </c>
      <c r="B1" s="1"/>
      <c r="C1" s="1"/>
      <c r="D1" s="1"/>
      <c r="E1" s="1"/>
      <c r="F1" s="1"/>
    </row>
    <row r="2" customFormat="false" ht="27.75" hidden="false" customHeight="true" outlineLevel="0" collapsed="false">
      <c r="A2" s="2" t="s">
        <v>1</v>
      </c>
      <c r="B2" s="2"/>
      <c r="C2" s="2"/>
      <c r="D2" s="2"/>
      <c r="E2" s="2"/>
      <c r="F2" s="2"/>
    </row>
    <row r="4" customFormat="false" ht="60" hidden="false" customHeight="true" outlineLevel="0" collapsed="false">
      <c r="B4" s="3" t="s">
        <v>2</v>
      </c>
      <c r="C4" s="4" t="s">
        <v>3</v>
      </c>
    </row>
    <row r="5" customFormat="false" ht="30" hidden="false" customHeight="true" outlineLevel="0" collapsed="false">
      <c r="B5" s="3" t="s">
        <v>4</v>
      </c>
      <c r="C5" s="4" t="s">
        <v>5</v>
      </c>
    </row>
    <row r="6" customFormat="false" ht="36" hidden="false" customHeight="true" outlineLevel="0" collapsed="false">
      <c r="B6" s="3" t="s">
        <v>6</v>
      </c>
      <c r="C6" s="4" t="s">
        <v>7</v>
      </c>
    </row>
    <row r="7" customFormat="false" ht="36" hidden="false" customHeight="true" outlineLevel="0" collapsed="false">
      <c r="B7" s="3" t="s">
        <v>8</v>
      </c>
      <c r="C7" s="4" t="s">
        <v>9</v>
      </c>
    </row>
    <row r="8" customFormat="false" ht="48" hidden="false" customHeight="true" outlineLevel="0" collapsed="false">
      <c r="B8" s="3" t="s">
        <v>10</v>
      </c>
      <c r="C8" s="4" t="s">
        <v>11</v>
      </c>
    </row>
    <row r="9" customFormat="false" ht="48" hidden="false" customHeight="true" outlineLevel="0" collapsed="false">
      <c r="B9" s="3" t="s">
        <v>12</v>
      </c>
      <c r="C9" s="4" t="s">
        <v>13</v>
      </c>
    </row>
    <row r="10" customFormat="false" ht="72" hidden="false" customHeight="true" outlineLevel="0" collapsed="false">
      <c r="B10" s="3" t="s">
        <v>14</v>
      </c>
      <c r="C10" s="4" t="s">
        <v>15</v>
      </c>
    </row>
    <row r="12" customFormat="false" ht="60" hidden="false" customHeight="true" outlineLevel="0" collapsed="false">
      <c r="B12" s="5" t="s">
        <v>16</v>
      </c>
      <c r="C12" s="4" t="s">
        <v>17</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38"/>
    <col collapsed="false" customWidth="true" hidden="false" outlineLevel="0" max="6" min="4" style="0" width="12"/>
    <col collapsed="false" customWidth="true" hidden="false" outlineLevel="0" max="8" min="7" style="0" width="30"/>
    <col collapsed="false" customWidth="true" hidden="false" outlineLevel="0" max="9" min="9" style="0" width="62"/>
  </cols>
  <sheetData>
    <row r="1" customFormat="false" ht="25.5" hidden="false" customHeight="true" outlineLevel="0" collapsed="false">
      <c r="A1" s="1" t="s">
        <v>18</v>
      </c>
      <c r="B1" s="1"/>
      <c r="C1" s="1"/>
      <c r="D1" s="1"/>
      <c r="E1" s="1"/>
      <c r="F1" s="1"/>
      <c r="G1" s="1"/>
      <c r="H1" s="1"/>
      <c r="I1" s="1"/>
    </row>
    <row r="2" customFormat="false" ht="27.75" hidden="false" customHeight="true" outlineLevel="0" collapsed="false">
      <c r="A2" s="2" t="s">
        <v>19</v>
      </c>
      <c r="B2" s="2"/>
      <c r="C2" s="2"/>
      <c r="D2" s="2"/>
      <c r="E2" s="2"/>
      <c r="F2" s="2"/>
      <c r="G2" s="2"/>
      <c r="H2" s="2"/>
      <c r="I2" s="2"/>
    </row>
    <row r="4" customFormat="false" ht="31.5" hidden="false" customHeight="true" outlineLevel="0" collapsed="false">
      <c r="A4" s="6" t="s">
        <v>20</v>
      </c>
      <c r="B4" s="6" t="s">
        <v>21</v>
      </c>
      <c r="C4" s="6" t="s">
        <v>22</v>
      </c>
      <c r="D4" s="6" t="s">
        <v>23</v>
      </c>
      <c r="E4" s="6" t="s">
        <v>24</v>
      </c>
      <c r="F4" s="6" t="s">
        <v>25</v>
      </c>
      <c r="G4" s="6" t="s">
        <v>26</v>
      </c>
      <c r="H4" s="6" t="s">
        <v>27</v>
      </c>
      <c r="I4" s="6" t="s">
        <v>28</v>
      </c>
    </row>
    <row r="5" customFormat="false" ht="57.75" hidden="false" customHeight="true" outlineLevel="0" collapsed="false">
      <c r="A5" s="7" t="s">
        <v>29</v>
      </c>
      <c r="B5" s="4" t="s">
        <v>30</v>
      </c>
      <c r="C5" s="4" t="s">
        <v>31</v>
      </c>
      <c r="D5" s="8" t="n">
        <v>7500000</v>
      </c>
      <c r="E5" s="8" t="n">
        <v>15000000</v>
      </c>
      <c r="F5" s="8" t="n">
        <v>30000000</v>
      </c>
      <c r="G5" s="4" t="s">
        <v>32</v>
      </c>
      <c r="H5" s="4" t="s">
        <v>33</v>
      </c>
      <c r="I5" s="4" t="s">
        <v>34</v>
      </c>
    </row>
    <row r="6" customFormat="false" ht="57.75" hidden="false" customHeight="true" outlineLevel="0" collapsed="false">
      <c r="A6" s="7" t="s">
        <v>35</v>
      </c>
      <c r="B6" s="4" t="s">
        <v>36</v>
      </c>
      <c r="C6" s="4" t="s">
        <v>37</v>
      </c>
      <c r="D6" s="9" t="n">
        <v>1.25</v>
      </c>
      <c r="E6" s="9" t="n">
        <v>1.75</v>
      </c>
      <c r="F6" s="9" t="n">
        <v>3.5</v>
      </c>
      <c r="G6" s="4" t="s">
        <v>38</v>
      </c>
      <c r="H6" s="4" t="s">
        <v>39</v>
      </c>
      <c r="I6" s="4" t="s">
        <v>40</v>
      </c>
    </row>
    <row r="7" customFormat="false" ht="57.75" hidden="false" customHeight="true" outlineLevel="0" collapsed="false">
      <c r="A7" s="7" t="s">
        <v>41</v>
      </c>
      <c r="B7" s="4" t="s">
        <v>42</v>
      </c>
      <c r="C7" s="4" t="s">
        <v>43</v>
      </c>
      <c r="D7" s="9" t="n">
        <v>0.9</v>
      </c>
      <c r="E7" s="9" t="n">
        <v>1</v>
      </c>
      <c r="F7" s="9" t="n">
        <v>1.2</v>
      </c>
      <c r="G7" s="4" t="s">
        <v>44</v>
      </c>
      <c r="H7" s="4" t="s">
        <v>45</v>
      </c>
      <c r="I7" s="4" t="s">
        <v>46</v>
      </c>
    </row>
    <row r="8" customFormat="false" ht="57.75" hidden="false" customHeight="true" outlineLevel="0" collapsed="false">
      <c r="A8" s="7" t="s">
        <v>47</v>
      </c>
      <c r="B8" s="4" t="s">
        <v>48</v>
      </c>
      <c r="C8" s="4" t="s">
        <v>49</v>
      </c>
      <c r="D8" s="9" t="n">
        <v>0.9112</v>
      </c>
      <c r="E8" s="9" t="n">
        <v>1</v>
      </c>
      <c r="F8" s="9" t="n">
        <v>1.1466</v>
      </c>
      <c r="G8" s="4" t="s">
        <v>50</v>
      </c>
      <c r="H8" s="4" t="s">
        <v>51</v>
      </c>
      <c r="I8" s="4" t="s">
        <v>52</v>
      </c>
    </row>
    <row r="9" customFormat="false" ht="57.75" hidden="false" customHeight="true" outlineLevel="0" collapsed="false">
      <c r="A9" s="7" t="s">
        <v>53</v>
      </c>
      <c r="B9" s="4" t="s">
        <v>54</v>
      </c>
      <c r="C9" s="4" t="s">
        <v>55</v>
      </c>
      <c r="D9" s="9" t="n">
        <v>0.2</v>
      </c>
      <c r="E9" s="9" t="n">
        <v>0.5</v>
      </c>
      <c r="F9" s="9" t="n">
        <v>0.8</v>
      </c>
      <c r="G9" s="4" t="s">
        <v>56</v>
      </c>
      <c r="H9" s="4" t="s">
        <v>57</v>
      </c>
      <c r="I9" s="4" t="s">
        <v>58</v>
      </c>
    </row>
    <row r="10" customFormat="false" ht="57.75" hidden="false" customHeight="true" outlineLevel="0" collapsed="false">
      <c r="A10" s="7" t="s">
        <v>59</v>
      </c>
      <c r="B10" s="4" t="s">
        <v>60</v>
      </c>
      <c r="C10" s="4" t="s">
        <v>61</v>
      </c>
      <c r="D10" s="9" t="n">
        <v>0.05</v>
      </c>
      <c r="E10" s="9" t="n">
        <v>0.15</v>
      </c>
      <c r="F10" s="9" t="n">
        <v>0.25</v>
      </c>
      <c r="G10" s="4" t="s">
        <v>62</v>
      </c>
      <c r="H10" s="4" t="s">
        <v>63</v>
      </c>
      <c r="I10" s="4" t="s">
        <v>64</v>
      </c>
    </row>
    <row r="12" customFormat="false" ht="15" hidden="false" customHeight="false" outlineLevel="0" collapsed="false">
      <c r="A12" s="5" t="s">
        <v>65</v>
      </c>
    </row>
    <row r="13" customFormat="false" ht="25.5" hidden="false" customHeight="true" outlineLevel="0" collapsed="false">
      <c r="A13" s="10" t="s">
        <v>66</v>
      </c>
      <c r="B13" s="11" t="s">
        <v>67</v>
      </c>
      <c r="C13" s="11"/>
      <c r="D13" s="11"/>
      <c r="E13" s="11"/>
      <c r="F13" s="11"/>
      <c r="G13" s="11"/>
      <c r="H13" s="11"/>
      <c r="I13" s="11"/>
    </row>
    <row r="14" customFormat="false" ht="25.5" hidden="false" customHeight="true" outlineLevel="0" collapsed="false">
      <c r="A14" s="10" t="s">
        <v>68</v>
      </c>
      <c r="B14" s="11" t="s">
        <v>69</v>
      </c>
      <c r="C14" s="11"/>
      <c r="D14" s="11"/>
      <c r="E14" s="11"/>
      <c r="F14" s="11"/>
      <c r="G14" s="11"/>
      <c r="H14" s="11"/>
      <c r="I14" s="11"/>
    </row>
    <row r="15" customFormat="false" ht="25.5" hidden="false" customHeight="true" outlineLevel="0" collapsed="false">
      <c r="A15" s="10" t="s">
        <v>70</v>
      </c>
      <c r="B15" s="11" t="s">
        <v>71</v>
      </c>
      <c r="C15" s="11"/>
      <c r="D15" s="11"/>
      <c r="E15" s="11"/>
      <c r="F15" s="11"/>
      <c r="G15" s="11"/>
      <c r="H15" s="11"/>
      <c r="I15" s="11"/>
    </row>
    <row r="16" customFormat="false" ht="25.5" hidden="false" customHeight="true" outlineLevel="0" collapsed="false">
      <c r="A16" s="10" t="s">
        <v>72</v>
      </c>
      <c r="B16" s="11" t="s">
        <v>73</v>
      </c>
      <c r="C16" s="11"/>
      <c r="D16" s="11"/>
      <c r="E16" s="11"/>
      <c r="F16" s="11"/>
      <c r="G16" s="11"/>
      <c r="H16" s="11"/>
      <c r="I16" s="11"/>
    </row>
  </sheetData>
  <mergeCells count="6">
    <mergeCell ref="A1:I1"/>
    <mergeCell ref="A2:I2"/>
    <mergeCell ref="B13:I13"/>
    <mergeCell ref="B14:I14"/>
    <mergeCell ref="B15:I15"/>
    <mergeCell ref="B16:I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26"/>
    <col collapsed="false" customWidth="true" hidden="false" outlineLevel="0" max="5" min="4" style="0" width="18"/>
    <col collapsed="false" customWidth="true" hidden="false" outlineLevel="0" max="6" min="6" style="0" width="16"/>
    <col collapsed="false" customWidth="true" hidden="false" outlineLevel="0" max="7" min="7" style="0" width="18"/>
    <col collapsed="false" customWidth="true" hidden="false" outlineLevel="0" max="8" min="8" style="0" width="14"/>
  </cols>
  <sheetData>
    <row r="1" customFormat="false" ht="25.5" hidden="false" customHeight="true" outlineLevel="0" collapsed="false">
      <c r="A1" s="1" t="s">
        <v>74</v>
      </c>
      <c r="B1" s="1"/>
      <c r="C1" s="1"/>
      <c r="D1" s="1"/>
      <c r="E1" s="1"/>
      <c r="F1" s="1"/>
      <c r="G1" s="1"/>
      <c r="H1" s="1"/>
    </row>
    <row r="2" customFormat="false" ht="27.75" hidden="false" customHeight="true" outlineLevel="0" collapsed="false">
      <c r="A2" s="2" t="s">
        <v>75</v>
      </c>
      <c r="B2" s="2"/>
      <c r="C2" s="2"/>
      <c r="D2" s="2"/>
      <c r="E2" s="2"/>
      <c r="F2" s="2"/>
      <c r="G2" s="2"/>
      <c r="H2" s="2"/>
    </row>
    <row r="4" customFormat="false" ht="31.5" hidden="false" customHeight="true" outlineLevel="0" collapsed="false">
      <c r="A4" s="6" t="s">
        <v>20</v>
      </c>
      <c r="B4" s="6" t="s">
        <v>76</v>
      </c>
      <c r="C4" s="6" t="s">
        <v>77</v>
      </c>
      <c r="D4" s="6" t="s">
        <v>78</v>
      </c>
      <c r="E4" s="6" t="s">
        <v>79</v>
      </c>
      <c r="F4" s="6" t="s">
        <v>80</v>
      </c>
      <c r="G4" s="6" t="s">
        <v>81</v>
      </c>
      <c r="H4" s="6" t="s">
        <v>82</v>
      </c>
    </row>
    <row r="5" customFormat="false" ht="15" hidden="false" customHeight="false" outlineLevel="0" collapsed="false">
      <c r="A5" s="7" t="s">
        <v>29</v>
      </c>
      <c r="B5" s="8" t="n">
        <v>30324.4942151176</v>
      </c>
      <c r="C5" s="8" t="n">
        <v>60648.9884302353</v>
      </c>
      <c r="D5" s="8" t="n">
        <v>121297.976860471</v>
      </c>
      <c r="E5" s="12" t="n">
        <f aca="false">ABS(D5-B5)</f>
        <v>90973.482645353</v>
      </c>
      <c r="F5" s="13" t="n">
        <f aca="false">IF(MAX($E$5:$E$10)=0,0,E5/MAX($E$5:$E$10))</f>
        <v>1</v>
      </c>
      <c r="G5" s="9" t="n">
        <v>1</v>
      </c>
      <c r="H5" s="13" t="n">
        <f aca="false">F5*G5</f>
        <v>1</v>
      </c>
    </row>
    <row r="6" customFormat="false" ht="15" hidden="false" customHeight="false" outlineLevel="0" collapsed="false">
      <c r="A6" s="7" t="s">
        <v>35</v>
      </c>
      <c r="B6" s="8" t="n">
        <v>84908.5838023294</v>
      </c>
      <c r="C6" s="8" t="n">
        <v>60648.9884302353</v>
      </c>
      <c r="D6" s="8" t="n">
        <v>31746.7158138572</v>
      </c>
      <c r="E6" s="12" t="n">
        <f aca="false">ABS(D6-B6)</f>
        <v>53161.8679884722</v>
      </c>
      <c r="F6" s="13" t="n">
        <f aca="false">IF(MAX($E$5:$E$10)=0,0,E6/MAX($E$5:$E$10))</f>
        <v>0.584366635668067</v>
      </c>
      <c r="G6" s="9" t="n">
        <v>1</v>
      </c>
      <c r="H6" s="13" t="n">
        <f aca="false">F6*G6</f>
        <v>0.584366635668067</v>
      </c>
    </row>
    <row r="7" customFormat="false" ht="23.85" hidden="false" customHeight="false" outlineLevel="0" collapsed="false">
      <c r="A7" s="7" t="s">
        <v>41</v>
      </c>
      <c r="B7" s="8" t="n">
        <v>67387.7649224837</v>
      </c>
      <c r="C7" s="8" t="n">
        <v>60648.9884302353</v>
      </c>
      <c r="D7" s="8" t="n">
        <v>50540.8236918627</v>
      </c>
      <c r="E7" s="12" t="n">
        <f aca="false">ABS(D7-B7)</f>
        <v>16846.9412306209</v>
      </c>
      <c r="F7" s="13" t="n">
        <f aca="false">IF(MAX($E$5:$E$10)=0,0,E7/MAX($E$5:$E$10))</f>
        <v>0.185185185185185</v>
      </c>
      <c r="G7" s="9" t="n">
        <v>0</v>
      </c>
      <c r="H7" s="13" t="n">
        <f aca="false">F7*G7</f>
        <v>0</v>
      </c>
    </row>
    <row r="8" customFormat="false" ht="15" hidden="false" customHeight="false" outlineLevel="0" collapsed="false">
      <c r="A8" s="7" t="s">
        <v>47</v>
      </c>
      <c r="B8" s="8" t="n">
        <v>60648.9884302353</v>
      </c>
      <c r="C8" s="8" t="n">
        <v>60648.9884302353</v>
      </c>
      <c r="D8" s="8" t="n">
        <v>60648.9884302353</v>
      </c>
      <c r="E8" s="12" t="n">
        <f aca="false">ABS(D8-B8)</f>
        <v>0</v>
      </c>
      <c r="F8" s="13" t="n">
        <f aca="false">IF(MAX($E$5:$E$10)=0,0,E8/MAX($E$5:$E$10))</f>
        <v>0</v>
      </c>
      <c r="G8" s="9" t="n">
        <v>0.333333333333333</v>
      </c>
      <c r="H8" s="13" t="n">
        <f aca="false">F8*G8</f>
        <v>0</v>
      </c>
    </row>
    <row r="9" customFormat="false" ht="15" hidden="false" customHeight="false" outlineLevel="0" collapsed="false">
      <c r="A9" s="7" t="s">
        <v>53</v>
      </c>
      <c r="B9" s="8" t="n">
        <v>60648.9884302353</v>
      </c>
      <c r="C9" s="8" t="n">
        <v>60648.9884302353</v>
      </c>
      <c r="D9" s="8" t="n">
        <v>60648.9884302353</v>
      </c>
      <c r="E9" s="12" t="n">
        <f aca="false">ABS(D9-B9)</f>
        <v>0</v>
      </c>
      <c r="F9" s="13" t="n">
        <f aca="false">IF(MAX($E$5:$E$10)=0,0,E9/MAX($E$5:$E$10))</f>
        <v>0</v>
      </c>
      <c r="G9" s="9" t="n">
        <v>1</v>
      </c>
      <c r="H9" s="13" t="n">
        <f aca="false">F9*G9</f>
        <v>0</v>
      </c>
    </row>
    <row r="10" customFormat="false" ht="15" hidden="false" customHeight="false" outlineLevel="0" collapsed="false">
      <c r="A10" s="7" t="s">
        <v>59</v>
      </c>
      <c r="B10" s="8" t="n">
        <v>60648.9884302353</v>
      </c>
      <c r="C10" s="8" t="n">
        <v>60648.9884302353</v>
      </c>
      <c r="D10" s="8" t="n">
        <v>60648.9884302353</v>
      </c>
      <c r="E10" s="12" t="n">
        <f aca="false">ABS(D10-B10)</f>
        <v>0</v>
      </c>
      <c r="F10" s="13" t="n">
        <f aca="false">IF(MAX($E$5:$E$10)=0,0,E10/MAX($E$5:$E$10))</f>
        <v>0</v>
      </c>
      <c r="G10" s="9" t="n">
        <v>0.666666666666667</v>
      </c>
      <c r="H10" s="13" t="n">
        <f aca="false">F10*G10</f>
        <v>0</v>
      </c>
    </row>
    <row r="12" customFormat="false" ht="15" hidden="false" customHeight="false" outlineLevel="0" collapsed="false">
      <c r="A12" s="5" t="s">
        <v>83</v>
      </c>
    </row>
    <row r="13" customFormat="false" ht="15" hidden="false" customHeight="false" outlineLevel="0" collapsed="false">
      <c r="A13" s="10" t="s">
        <v>84</v>
      </c>
      <c r="B13" s="14" t="s">
        <v>29</v>
      </c>
    </row>
    <row r="14" customFormat="false" ht="15" hidden="false" customHeight="false" outlineLevel="0" collapsed="false">
      <c r="A14" s="10" t="s">
        <v>85</v>
      </c>
      <c r="B14" s="14" t="s">
        <v>35</v>
      </c>
    </row>
    <row r="16" customFormat="false" ht="15" hidden="false" customHeight="false" outlineLevel="0" collapsed="false">
      <c r="A16" s="5" t="s">
        <v>86</v>
      </c>
    </row>
    <row r="17" customFormat="false" ht="99.75" hidden="false" customHeight="true" outlineLevel="0" collapsed="false">
      <c r="A17" s="11" t="s">
        <v>87</v>
      </c>
      <c r="B17" s="11"/>
      <c r="C17" s="11"/>
      <c r="D17" s="11"/>
      <c r="E17" s="11"/>
      <c r="F17" s="11"/>
      <c r="G17" s="11"/>
      <c r="H17" s="11"/>
    </row>
    <row r="20" customFormat="false" ht="15" hidden="false" customHeight="false" outlineLevel="0" collapsed="false">
      <c r="A20" s="5" t="s">
        <v>88</v>
      </c>
    </row>
    <row r="21" customFormat="false" ht="31.5" hidden="false" customHeight="true" outlineLevel="0" collapsed="false">
      <c r="A21" s="6" t="s">
        <v>20</v>
      </c>
      <c r="B21" s="6" t="s">
        <v>89</v>
      </c>
      <c r="C21" s="6" t="s">
        <v>90</v>
      </c>
      <c r="D21" s="6" t="s">
        <v>91</v>
      </c>
      <c r="E21" s="6" t="s">
        <v>92</v>
      </c>
      <c r="F21" s="6" t="s">
        <v>93</v>
      </c>
    </row>
    <row r="22" customFormat="false" ht="15" hidden="false" customHeight="false" outlineLevel="0" collapsed="false">
      <c r="A22" s="4" t="s">
        <v>29</v>
      </c>
      <c r="B22" s="8" t="n">
        <v>90973.4826453529</v>
      </c>
      <c r="C22" s="8" t="n">
        <v>47620.0737207858</v>
      </c>
      <c r="D22" s="9" t="n">
        <v>1</v>
      </c>
      <c r="E22" s="9" t="n">
        <v>0.895756216299846</v>
      </c>
      <c r="F22" s="10" t="s">
        <v>94</v>
      </c>
    </row>
    <row r="23" customFormat="false" ht="15" hidden="false" customHeight="false" outlineLevel="0" collapsed="false">
      <c r="A23" s="4" t="s">
        <v>35</v>
      </c>
      <c r="B23" s="8" t="n">
        <v>53161.8679884722</v>
      </c>
      <c r="C23" s="8" t="n">
        <v>53161.8679884722</v>
      </c>
      <c r="D23" s="9" t="n">
        <v>0.584366635668068</v>
      </c>
      <c r="E23" s="9" t="n">
        <v>1</v>
      </c>
      <c r="F23" s="10" t="s">
        <v>94</v>
      </c>
    </row>
    <row r="24" customFormat="false" ht="15" hidden="false" customHeight="false" outlineLevel="0" collapsed="false">
      <c r="A24" s="4" t="s">
        <v>41</v>
      </c>
      <c r="B24" s="8" t="n">
        <v>16846.9412306209</v>
      </c>
      <c r="C24" s="8" t="n">
        <v>8818.53217051589</v>
      </c>
      <c r="D24" s="9" t="n">
        <v>0</v>
      </c>
      <c r="E24" s="9" t="n">
        <v>0</v>
      </c>
      <c r="F24" s="10" t="s">
        <v>94</v>
      </c>
    </row>
    <row r="25" customFormat="false" ht="15" hidden="false" customHeight="false" outlineLevel="0" collapsed="false">
      <c r="A25" s="4" t="s">
        <v>47</v>
      </c>
      <c r="B25" s="8" t="n">
        <v>0</v>
      </c>
      <c r="C25" s="8" t="n">
        <v>0</v>
      </c>
      <c r="D25" s="9" t="n">
        <v>0</v>
      </c>
      <c r="E25" s="9" t="n">
        <v>0</v>
      </c>
      <c r="F25" s="10" t="s">
        <v>94</v>
      </c>
    </row>
    <row r="26" customFormat="false" ht="15" hidden="false" customHeight="false" outlineLevel="0" collapsed="false">
      <c r="A26" s="4" t="s">
        <v>53</v>
      </c>
      <c r="B26" s="8" t="n">
        <v>0</v>
      </c>
      <c r="C26" s="8" t="n">
        <v>3.63797880709171E-012</v>
      </c>
      <c r="D26" s="9" t="n">
        <v>0</v>
      </c>
      <c r="E26" s="9" t="n">
        <v>6.84321101711585E-017</v>
      </c>
      <c r="F26" s="10" t="s">
        <v>94</v>
      </c>
    </row>
    <row r="27" customFormat="false" ht="15" hidden="false" customHeight="false" outlineLevel="0" collapsed="false">
      <c r="A27" s="4" t="s">
        <v>59</v>
      </c>
      <c r="B27" s="8" t="n">
        <v>0</v>
      </c>
      <c r="C27" s="8" t="n">
        <v>0</v>
      </c>
      <c r="D27" s="9" t="n">
        <v>0</v>
      </c>
      <c r="E27" s="9" t="n">
        <v>0</v>
      </c>
      <c r="F27" s="10" t="s">
        <v>94</v>
      </c>
    </row>
    <row r="29" customFormat="false" ht="45.75" hidden="false" customHeight="true" outlineLevel="0" collapsed="false">
      <c r="A29" s="4" t="s">
        <v>95</v>
      </c>
      <c r="B29" s="4"/>
      <c r="C29" s="4"/>
      <c r="D29" s="4"/>
      <c r="E29" s="4"/>
      <c r="F29" s="4"/>
    </row>
  </sheetData>
  <mergeCells count="4">
    <mergeCell ref="A1:H1"/>
    <mergeCell ref="A2:H2"/>
    <mergeCell ref="A17:H17"/>
    <mergeCell ref="A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3" min="2" style="0" width="16"/>
    <col collapsed="false" customWidth="true" hidden="false" outlineLevel="0" max="4" min="4" style="0" width="90"/>
  </cols>
  <sheetData>
    <row r="1" customFormat="false" ht="25.5" hidden="false" customHeight="true" outlineLevel="0" collapsed="false">
      <c r="A1" s="1" t="s">
        <v>96</v>
      </c>
      <c r="B1" s="1"/>
      <c r="C1" s="1"/>
      <c r="D1" s="1"/>
      <c r="E1" s="1"/>
    </row>
    <row r="2" customFormat="false" ht="27.75" hidden="false" customHeight="true" outlineLevel="0" collapsed="false">
      <c r="A2" s="2" t="s">
        <v>97</v>
      </c>
      <c r="B2" s="2"/>
      <c r="C2" s="2"/>
      <c r="D2" s="2"/>
      <c r="E2" s="2"/>
    </row>
    <row r="4" customFormat="false" ht="31.5" hidden="false" customHeight="true" outlineLevel="0" collapsed="false">
      <c r="A4" s="6" t="s">
        <v>20</v>
      </c>
      <c r="B4" s="6" t="s">
        <v>98</v>
      </c>
      <c r="C4" s="6" t="s">
        <v>99</v>
      </c>
      <c r="D4" s="6" t="s">
        <v>100</v>
      </c>
    </row>
    <row r="5" customFormat="false" ht="30" hidden="false" customHeight="true" outlineLevel="0" collapsed="false">
      <c r="A5" s="7" t="s">
        <v>29</v>
      </c>
      <c r="B5" s="9" t="s">
        <v>101</v>
      </c>
      <c r="C5" s="9" t="s">
        <v>102</v>
      </c>
      <c r="D5" s="4" t="s">
        <v>103</v>
      </c>
    </row>
    <row r="6" customFormat="false" ht="30" hidden="false" customHeight="true" outlineLevel="0" collapsed="false">
      <c r="A6" s="7" t="s">
        <v>47</v>
      </c>
      <c r="B6" s="9" t="s">
        <v>101</v>
      </c>
      <c r="C6" s="9" t="s">
        <v>102</v>
      </c>
      <c r="D6" s="4" t="s">
        <v>103</v>
      </c>
    </row>
    <row r="7" customFormat="false" ht="30" hidden="false" customHeight="true" outlineLevel="0" collapsed="false">
      <c r="A7" s="7" t="s">
        <v>53</v>
      </c>
      <c r="B7" s="9" t="s">
        <v>101</v>
      </c>
      <c r="C7" s="9" t="s">
        <v>102</v>
      </c>
      <c r="D7" s="4" t="s">
        <v>103</v>
      </c>
    </row>
    <row r="8" customFormat="false" ht="30" hidden="false" customHeight="true" outlineLevel="0" collapsed="false">
      <c r="A8" s="7" t="s">
        <v>59</v>
      </c>
      <c r="B8" s="9" t="s">
        <v>101</v>
      </c>
      <c r="C8" s="9" t="s">
        <v>102</v>
      </c>
      <c r="D8" s="4" t="s">
        <v>103</v>
      </c>
    </row>
    <row r="9" customFormat="false" ht="30" hidden="false" customHeight="true" outlineLevel="0" collapsed="false">
      <c r="A9" s="7" t="s">
        <v>35</v>
      </c>
      <c r="B9" s="9" t="n">
        <v>1.75</v>
      </c>
      <c r="C9" s="9" t="n">
        <v>3.34288504708419</v>
      </c>
      <c r="D9" s="4" t="s">
        <v>104</v>
      </c>
    </row>
    <row r="10" customFormat="false" ht="30" hidden="false" customHeight="true" outlineLevel="0" collapsed="false">
      <c r="A10" s="7" t="s">
        <v>41</v>
      </c>
      <c r="B10" s="9" t="s">
        <v>101</v>
      </c>
      <c r="C10" s="9" t="s">
        <v>102</v>
      </c>
      <c r="D10" s="4" t="s">
        <v>103</v>
      </c>
    </row>
    <row r="12" customFormat="false" ht="15" hidden="false" customHeight="false" outlineLevel="0" collapsed="false">
      <c r="A12" s="5" t="s">
        <v>105</v>
      </c>
    </row>
    <row r="13" customFormat="false" ht="90" hidden="false" customHeight="true" outlineLevel="0" collapsed="false">
      <c r="A13" s="11" t="s">
        <v>106</v>
      </c>
      <c r="B13" s="11"/>
      <c r="C13" s="11"/>
      <c r="D13" s="11"/>
    </row>
  </sheetData>
  <mergeCells count="3">
    <mergeCell ref="A1:E1"/>
    <mergeCell ref="A2:E2"/>
    <mergeCell ref="A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4" min="2" style="0" width="34"/>
    <col collapsed="false" customWidth="true" hidden="false" outlineLevel="0" max="5" min="5" style="0" width="18"/>
    <col collapsed="false" customWidth="true" hidden="false" outlineLevel="0" max="6" min="6" style="0" width="16"/>
  </cols>
  <sheetData>
    <row r="1" customFormat="false" ht="25.5" hidden="false" customHeight="true" outlineLevel="0" collapsed="false">
      <c r="A1" s="1" t="s">
        <v>107</v>
      </c>
      <c r="B1" s="1"/>
      <c r="C1" s="1"/>
      <c r="D1" s="1"/>
      <c r="E1" s="1"/>
      <c r="F1" s="1"/>
    </row>
    <row r="2" customFormat="false" ht="27.75" hidden="false" customHeight="true" outlineLevel="0" collapsed="false">
      <c r="A2" s="2" t="s">
        <v>108</v>
      </c>
      <c r="B2" s="2"/>
      <c r="C2" s="2"/>
      <c r="D2" s="2"/>
      <c r="E2" s="2"/>
      <c r="F2" s="2"/>
    </row>
    <row r="4" customFormat="false" ht="31.5" hidden="false" customHeight="true" outlineLevel="0" collapsed="false">
      <c r="A4" s="6" t="s">
        <v>109</v>
      </c>
      <c r="B4" s="6" t="s">
        <v>110</v>
      </c>
      <c r="C4" s="6" t="s">
        <v>111</v>
      </c>
      <c r="D4" s="6" t="s">
        <v>112</v>
      </c>
      <c r="E4" s="6" t="s">
        <v>113</v>
      </c>
      <c r="F4" s="6" t="s">
        <v>114</v>
      </c>
    </row>
    <row r="5" customFormat="false" ht="27.75" hidden="false" customHeight="true" outlineLevel="0" collapsed="false">
      <c r="A5" s="10" t="s">
        <v>115</v>
      </c>
      <c r="B5" s="7" t="s">
        <v>116</v>
      </c>
      <c r="C5" s="4" t="s">
        <v>32</v>
      </c>
      <c r="D5" s="4" t="s">
        <v>38</v>
      </c>
      <c r="E5" s="15" t="n">
        <v>7500000</v>
      </c>
      <c r="F5" s="16" t="n">
        <v>1.25</v>
      </c>
    </row>
    <row r="6" customFormat="false" ht="27.75" hidden="false" customHeight="true" outlineLevel="0" collapsed="false">
      <c r="A6" s="10" t="s">
        <v>117</v>
      </c>
      <c r="B6" s="7" t="s">
        <v>118</v>
      </c>
      <c r="C6" s="4" t="s">
        <v>32</v>
      </c>
      <c r="D6" s="4" t="s">
        <v>39</v>
      </c>
      <c r="E6" s="15" t="n">
        <v>7500000</v>
      </c>
      <c r="F6" s="16" t="n">
        <v>3.5</v>
      </c>
    </row>
    <row r="7" customFormat="false" ht="27.75" hidden="false" customHeight="true" outlineLevel="0" collapsed="false">
      <c r="A7" s="10" t="s">
        <v>119</v>
      </c>
      <c r="B7" s="7" t="s">
        <v>120</v>
      </c>
      <c r="C7" s="4" t="s">
        <v>33</v>
      </c>
      <c r="D7" s="4" t="s">
        <v>38</v>
      </c>
      <c r="E7" s="15" t="n">
        <v>30000000</v>
      </c>
      <c r="F7" s="16" t="n">
        <v>1.25</v>
      </c>
    </row>
    <row r="8" customFormat="false" ht="27.75" hidden="false" customHeight="true" outlineLevel="0" collapsed="false">
      <c r="A8" s="10" t="s">
        <v>121</v>
      </c>
      <c r="B8" s="7" t="s">
        <v>122</v>
      </c>
      <c r="C8" s="4" t="s">
        <v>33</v>
      </c>
      <c r="D8" s="4" t="s">
        <v>39</v>
      </c>
      <c r="E8" s="15" t="n">
        <v>30000000</v>
      </c>
      <c r="F8" s="16" t="n">
        <v>3.5</v>
      </c>
    </row>
    <row r="9" customFormat="false" ht="27.75" hidden="false" customHeight="true" outlineLevel="0" collapsed="false">
      <c r="A9" s="10" t="s">
        <v>123</v>
      </c>
      <c r="B9" s="7" t="s">
        <v>124</v>
      </c>
      <c r="C9" s="4" t="s">
        <v>125</v>
      </c>
      <c r="D9" s="4" t="s">
        <v>125</v>
      </c>
      <c r="E9" s="15" t="n">
        <v>15000000</v>
      </c>
      <c r="F9" s="16" t="n">
        <v>1.75</v>
      </c>
    </row>
    <row r="11" customFormat="false" ht="39.75" hidden="false" customHeight="true" outlineLevel="0" collapsed="false">
      <c r="A11" s="4" t="s">
        <v>126</v>
      </c>
      <c r="B11" s="4"/>
      <c r="C11" s="4"/>
      <c r="D11" s="4"/>
      <c r="E11" s="4"/>
      <c r="F11" s="4"/>
    </row>
  </sheetData>
  <mergeCells count="3">
    <mergeCell ref="A1:F1"/>
    <mergeCell ref="A2:F2"/>
    <mergeCell ref="A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4" min="3" style="0" width="46"/>
    <col collapsed="false" customWidth="true" hidden="false" outlineLevel="0" max="6" min="5" style="0" width="12"/>
    <col collapsed="false" customWidth="true" hidden="false" outlineLevel="0" max="7" min="7" style="0" width="52"/>
  </cols>
  <sheetData>
    <row r="1" customFormat="false" ht="25.5" hidden="false" customHeight="true" outlineLevel="0" collapsed="false">
      <c r="A1" s="1" t="s">
        <v>127</v>
      </c>
      <c r="B1" s="1"/>
      <c r="C1" s="1"/>
      <c r="D1" s="1"/>
      <c r="E1" s="1"/>
      <c r="F1" s="1"/>
      <c r="G1" s="1"/>
      <c r="H1" s="1"/>
    </row>
    <row r="2" customFormat="false" ht="27.75" hidden="false" customHeight="true" outlineLevel="0" collapsed="false">
      <c r="A2" s="2" t="s">
        <v>128</v>
      </c>
      <c r="B2" s="2"/>
      <c r="C2" s="2"/>
      <c r="D2" s="2"/>
      <c r="E2" s="2"/>
      <c r="F2" s="2"/>
      <c r="G2" s="2"/>
      <c r="H2" s="2"/>
    </row>
    <row r="4" customFormat="false" ht="31.5" hidden="false" customHeight="true" outlineLevel="0" collapsed="false">
      <c r="A4" s="6" t="s">
        <v>109</v>
      </c>
      <c r="B4" s="6" t="s">
        <v>129</v>
      </c>
      <c r="C4" s="6" t="s">
        <v>130</v>
      </c>
      <c r="D4" s="6" t="s">
        <v>131</v>
      </c>
      <c r="E4" s="6" t="s">
        <v>132</v>
      </c>
      <c r="F4" s="6" t="s">
        <v>133</v>
      </c>
      <c r="G4" s="6" t="s">
        <v>134</v>
      </c>
    </row>
    <row r="5" customFormat="false" ht="73.5" hidden="false" customHeight="true" outlineLevel="0" collapsed="false">
      <c r="A5" s="10" t="s">
        <v>135</v>
      </c>
      <c r="B5" s="7" t="s">
        <v>136</v>
      </c>
      <c r="C5" s="4" t="s">
        <v>137</v>
      </c>
      <c r="D5" s="4" t="s">
        <v>138</v>
      </c>
      <c r="E5" s="17" t="n">
        <v>5</v>
      </c>
      <c r="F5" s="17" t="n">
        <v>5</v>
      </c>
      <c r="G5" s="18" t="s">
        <v>139</v>
      </c>
    </row>
    <row r="6" customFormat="false" ht="73.5" hidden="false" customHeight="true" outlineLevel="0" collapsed="false">
      <c r="A6" s="10" t="s">
        <v>140</v>
      </c>
      <c r="B6" s="7" t="s">
        <v>141</v>
      </c>
      <c r="C6" s="4" t="s">
        <v>142</v>
      </c>
      <c r="D6" s="4" t="s">
        <v>143</v>
      </c>
      <c r="E6" s="17" t="n">
        <v>3</v>
      </c>
      <c r="F6" s="17" t="n">
        <v>2</v>
      </c>
      <c r="G6" s="18" t="s">
        <v>144</v>
      </c>
    </row>
    <row r="7" customFormat="false" ht="73.5" hidden="false" customHeight="true" outlineLevel="0" collapsed="false">
      <c r="A7" s="10" t="s">
        <v>145</v>
      </c>
      <c r="B7" s="7" t="s">
        <v>146</v>
      </c>
      <c r="C7" s="4" t="s">
        <v>147</v>
      </c>
      <c r="D7" s="4" t="s">
        <v>148</v>
      </c>
      <c r="E7" s="17" t="n">
        <v>2</v>
      </c>
      <c r="F7" s="17" t="n">
        <v>2</v>
      </c>
      <c r="G7" s="18" t="s">
        <v>149</v>
      </c>
    </row>
    <row r="8" customFormat="false" ht="73.5" hidden="false" customHeight="true" outlineLevel="0" collapsed="false">
      <c r="A8" s="10" t="s">
        <v>150</v>
      </c>
      <c r="B8" s="7" t="s">
        <v>151</v>
      </c>
      <c r="C8" s="4" t="s">
        <v>152</v>
      </c>
      <c r="D8" s="4" t="s">
        <v>153</v>
      </c>
      <c r="E8" s="17" t="n">
        <v>5</v>
      </c>
      <c r="F8" s="17" t="n">
        <v>4</v>
      </c>
      <c r="G8" s="18" t="s">
        <v>154</v>
      </c>
    </row>
    <row r="9" customFormat="false" ht="73.5" hidden="false" customHeight="true" outlineLevel="0" collapsed="false">
      <c r="A9" s="10" t="s">
        <v>155</v>
      </c>
      <c r="B9" s="7" t="s">
        <v>156</v>
      </c>
      <c r="C9" s="4" t="s">
        <v>157</v>
      </c>
      <c r="D9" s="4" t="s">
        <v>158</v>
      </c>
      <c r="E9" s="17" t="n">
        <v>3</v>
      </c>
      <c r="F9" s="17" t="n">
        <v>2</v>
      </c>
      <c r="G9" s="18" t="s">
        <v>159</v>
      </c>
    </row>
    <row r="10" customFormat="false" ht="73.5" hidden="false" customHeight="true" outlineLevel="0" collapsed="false">
      <c r="A10" s="10" t="s">
        <v>160</v>
      </c>
      <c r="B10" s="7" t="s">
        <v>161</v>
      </c>
      <c r="C10" s="4" t="s">
        <v>162</v>
      </c>
      <c r="D10" s="4" t="s">
        <v>163</v>
      </c>
      <c r="E10" s="17" t="n">
        <v>3</v>
      </c>
      <c r="F10" s="17" t="n">
        <v>2</v>
      </c>
      <c r="G10" s="18" t="s">
        <v>164</v>
      </c>
    </row>
    <row r="11" customFormat="false" ht="73.5" hidden="false" customHeight="true" outlineLevel="0" collapsed="false">
      <c r="A11" s="10" t="s">
        <v>165</v>
      </c>
      <c r="B11" s="7" t="s">
        <v>166</v>
      </c>
      <c r="C11" s="4" t="s">
        <v>167</v>
      </c>
      <c r="D11" s="4" t="s">
        <v>168</v>
      </c>
      <c r="E11" s="17" t="n">
        <v>3</v>
      </c>
      <c r="F11" s="17" t="n">
        <v>3</v>
      </c>
      <c r="G11" s="18" t="s">
        <v>169</v>
      </c>
    </row>
    <row r="12" customFormat="false" ht="73.5" hidden="false" customHeight="true" outlineLevel="0" collapsed="false">
      <c r="A12" s="10" t="s">
        <v>170</v>
      </c>
      <c r="B12" s="7" t="s">
        <v>171</v>
      </c>
      <c r="C12" s="4" t="s">
        <v>172</v>
      </c>
      <c r="D12" s="4" t="s">
        <v>173</v>
      </c>
      <c r="E12" s="17" t="n">
        <v>4</v>
      </c>
      <c r="F12" s="17" t="n">
        <v>3</v>
      </c>
      <c r="G12" s="18" t="s">
        <v>174</v>
      </c>
    </row>
    <row r="14" customFormat="false" ht="55.5" hidden="false" customHeight="true" outlineLevel="0" collapsed="false">
      <c r="A14" s="4" t="s">
        <v>175</v>
      </c>
      <c r="B14" s="4"/>
      <c r="C14" s="4"/>
      <c r="D14" s="4"/>
      <c r="E14" s="4"/>
      <c r="F14" s="4"/>
      <c r="G14" s="4"/>
    </row>
  </sheetData>
  <mergeCells count="3">
    <mergeCell ref="A1:H1"/>
    <mergeCell ref="A2:H2"/>
    <mergeCell ref="A14: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26"/>
    <col collapsed="false" customWidth="true" hidden="false" outlineLevel="0" max="4" min="4" style="0" width="16"/>
    <col collapsed="false" customWidth="true" hidden="false" outlineLevel="0" max="5" min="5" style="0" width="22"/>
    <col collapsed="false" customWidth="true" hidden="false" outlineLevel="0" max="6" min="6" style="0" width="14"/>
    <col collapsed="false" customWidth="true" hidden="false" outlineLevel="0" max="8" min="7" style="0" width="16"/>
    <col collapsed="false" customWidth="true" hidden="false" outlineLevel="0" max="10" min="9" style="0" width="18"/>
  </cols>
  <sheetData>
    <row r="1" customFormat="false" ht="25.5" hidden="false" customHeight="true" outlineLevel="0" collapsed="false">
      <c r="A1" s="1" t="s">
        <v>176</v>
      </c>
      <c r="B1" s="1"/>
      <c r="C1" s="1"/>
      <c r="D1" s="1"/>
      <c r="E1" s="1"/>
      <c r="F1" s="1"/>
      <c r="G1" s="1"/>
      <c r="H1" s="1"/>
      <c r="I1" s="1"/>
      <c r="J1" s="1"/>
    </row>
    <row r="2" customFormat="false" ht="27.75" hidden="false" customHeight="true" outlineLevel="0" collapsed="false">
      <c r="A2" s="2" t="s">
        <v>177</v>
      </c>
      <c r="B2" s="2"/>
      <c r="C2" s="2"/>
      <c r="D2" s="2"/>
      <c r="E2" s="2"/>
      <c r="F2" s="2"/>
      <c r="G2" s="2"/>
      <c r="H2" s="2"/>
      <c r="I2" s="2"/>
      <c r="J2" s="2"/>
    </row>
    <row r="4" customFormat="false" ht="31.5" hidden="false" customHeight="true" outlineLevel="0" collapsed="false">
      <c r="A4" s="6" t="s">
        <v>178</v>
      </c>
      <c r="B4" s="6" t="s">
        <v>129</v>
      </c>
      <c r="C4" s="6" t="s">
        <v>110</v>
      </c>
      <c r="D4" s="6" t="s">
        <v>179</v>
      </c>
      <c r="E4" s="6" t="s">
        <v>180</v>
      </c>
      <c r="F4" s="6" t="s">
        <v>181</v>
      </c>
      <c r="G4" s="6" t="s">
        <v>182</v>
      </c>
      <c r="H4" s="6" t="s">
        <v>183</v>
      </c>
      <c r="I4" s="6" t="s">
        <v>184</v>
      </c>
      <c r="J4" s="6" t="s">
        <v>185</v>
      </c>
    </row>
    <row r="5" customFormat="false" ht="15" hidden="false" customHeight="false" outlineLevel="0" collapsed="false">
      <c r="A5" s="10" t="s">
        <v>115</v>
      </c>
      <c r="B5" s="10" t="s">
        <v>135</v>
      </c>
      <c r="C5" s="4" t="s">
        <v>136</v>
      </c>
      <c r="D5" s="8" t="n">
        <v>0</v>
      </c>
      <c r="E5" s="8" t="n">
        <v>0</v>
      </c>
      <c r="F5" s="19" t="n">
        <f aca="false">IF(D5=0,0,E5/D5)</f>
        <v>0</v>
      </c>
      <c r="G5" s="15" t="n">
        <v>0</v>
      </c>
      <c r="H5" s="20" t="n">
        <f aca="false">IF(G5=0,0,ROUND(D5/(G5/1000000),1))</f>
        <v>0</v>
      </c>
      <c r="I5" s="21" t="n">
        <v>0</v>
      </c>
      <c r="J5" s="21" t="n">
        <v>0</v>
      </c>
    </row>
    <row r="6" customFormat="false" ht="15" hidden="false" customHeight="false" outlineLevel="0" collapsed="false">
      <c r="A6" s="10" t="s">
        <v>115</v>
      </c>
      <c r="B6" s="10" t="s">
        <v>140</v>
      </c>
      <c r="C6" s="4" t="s">
        <v>141</v>
      </c>
      <c r="D6" s="8" t="n">
        <v>42454</v>
      </c>
      <c r="E6" s="8" t="n">
        <v>42454</v>
      </c>
      <c r="F6" s="19" t="n">
        <f aca="false">IF(D6=0,0,E6/D6)</f>
        <v>1</v>
      </c>
      <c r="G6" s="15" t="n">
        <v>7500000</v>
      </c>
      <c r="H6" s="20" t="n">
        <f aca="false">IF(G6=0,0,ROUND(D6/(G6/1000000),1))</f>
        <v>5660.5</v>
      </c>
      <c r="I6" s="21" t="n">
        <v>1</v>
      </c>
      <c r="J6" s="21" t="n">
        <v>0.143289111050997</v>
      </c>
    </row>
    <row r="7" customFormat="false" ht="15" hidden="false" customHeight="false" outlineLevel="0" collapsed="false">
      <c r="A7" s="10" t="s">
        <v>115</v>
      </c>
      <c r="B7" s="10" t="s">
        <v>145</v>
      </c>
      <c r="C7" s="4" t="s">
        <v>146</v>
      </c>
      <c r="D7" s="8" t="n">
        <v>42454</v>
      </c>
      <c r="E7" s="8" t="n">
        <v>42454</v>
      </c>
      <c r="F7" s="19" t="n">
        <f aca="false">IF(D7=0,0,E7/D7)</f>
        <v>1</v>
      </c>
      <c r="G7" s="15" t="n">
        <v>7500000</v>
      </c>
      <c r="H7" s="20" t="n">
        <f aca="false">IF(G7=0,0,ROUND(D7/(G7/1000000),1))</f>
        <v>5660.5</v>
      </c>
      <c r="I7" s="21" t="n">
        <v>1</v>
      </c>
      <c r="J7" s="21" t="n">
        <v>0.143289111050997</v>
      </c>
    </row>
    <row r="8" customFormat="false" ht="15" hidden="false" customHeight="false" outlineLevel="0" collapsed="false">
      <c r="A8" s="10" t="s">
        <v>115</v>
      </c>
      <c r="B8" s="10" t="s">
        <v>150</v>
      </c>
      <c r="C8" s="4" t="s">
        <v>151</v>
      </c>
      <c r="D8" s="8" t="n">
        <v>42454</v>
      </c>
      <c r="E8" s="8" t="n">
        <v>42454</v>
      </c>
      <c r="F8" s="19" t="n">
        <f aca="false">IF(D8=0,0,E8/D8)</f>
        <v>1</v>
      </c>
      <c r="G8" s="15" t="n">
        <v>7499992.5</v>
      </c>
      <c r="H8" s="20" t="n">
        <f aca="false">IF(G8=0,0,ROUND(D8/(G8/1000000),1))</f>
        <v>5660.5</v>
      </c>
      <c r="I8" s="21" t="n">
        <v>1</v>
      </c>
      <c r="J8" s="21" t="n">
        <v>0.143289111050997</v>
      </c>
    </row>
    <row r="9" customFormat="false" ht="15" hidden="false" customHeight="false" outlineLevel="0" collapsed="false">
      <c r="A9" s="10" t="s">
        <v>115</v>
      </c>
      <c r="B9" s="10" t="s">
        <v>155</v>
      </c>
      <c r="C9" s="4" t="s">
        <v>156</v>
      </c>
      <c r="D9" s="8" t="n">
        <v>42454</v>
      </c>
      <c r="E9" s="8" t="n">
        <v>42454</v>
      </c>
      <c r="F9" s="19" t="n">
        <f aca="false">IF(D9=0,0,E9/D9)</f>
        <v>1</v>
      </c>
      <c r="G9" s="15" t="n">
        <v>7500000</v>
      </c>
      <c r="H9" s="20" t="n">
        <f aca="false">IF(G9=0,0,ROUND(D9/(G9/1000000),1))</f>
        <v>5660.5</v>
      </c>
      <c r="I9" s="21" t="n">
        <v>1</v>
      </c>
      <c r="J9" s="21" t="n">
        <v>0.143289111050997</v>
      </c>
    </row>
    <row r="10" customFormat="false" ht="15" hidden="false" customHeight="false" outlineLevel="0" collapsed="false">
      <c r="A10" s="10" t="s">
        <v>115</v>
      </c>
      <c r="B10" s="10" t="s">
        <v>160</v>
      </c>
      <c r="C10" s="4" t="s">
        <v>161</v>
      </c>
      <c r="D10" s="8" t="n">
        <v>42454</v>
      </c>
      <c r="E10" s="8" t="n">
        <v>42454</v>
      </c>
      <c r="F10" s="19" t="n">
        <f aca="false">IF(D10=0,0,E10/D10)</f>
        <v>1</v>
      </c>
      <c r="G10" s="15" t="n">
        <v>7500000</v>
      </c>
      <c r="H10" s="20" t="n">
        <f aca="false">IF(G10=0,0,ROUND(D10/(G10/1000000),1))</f>
        <v>5660.5</v>
      </c>
      <c r="I10" s="21" t="n">
        <v>1</v>
      </c>
      <c r="J10" s="21" t="n">
        <v>0.143289111050997</v>
      </c>
    </row>
    <row r="11" customFormat="false" ht="15" hidden="false" customHeight="false" outlineLevel="0" collapsed="false">
      <c r="A11" s="10" t="s">
        <v>115</v>
      </c>
      <c r="B11" s="10" t="s">
        <v>165</v>
      </c>
      <c r="C11" s="4" t="s">
        <v>166</v>
      </c>
      <c r="D11" s="8" t="n">
        <v>15873</v>
      </c>
      <c r="E11" s="8" t="n">
        <v>15873</v>
      </c>
      <c r="F11" s="19" t="n">
        <f aca="false">IF(D11=0,0,E11/D11)</f>
        <v>1</v>
      </c>
      <c r="G11" s="15" t="n">
        <v>7500000</v>
      </c>
      <c r="H11" s="20" t="n">
        <f aca="false">IF(G11=0,0,ROUND(D11/(G11/1000000),1))</f>
        <v>2116.4</v>
      </c>
      <c r="I11" s="21" t="n">
        <v>0</v>
      </c>
      <c r="J11" s="21" t="n">
        <v>0.0535748334621814</v>
      </c>
    </row>
    <row r="12" customFormat="false" ht="15" hidden="false" customHeight="false" outlineLevel="0" collapsed="false">
      <c r="A12" s="10" t="s">
        <v>115</v>
      </c>
      <c r="B12" s="10" t="s">
        <v>170</v>
      </c>
      <c r="C12" s="4" t="s">
        <v>171</v>
      </c>
      <c r="D12" s="8" t="n">
        <v>29164</v>
      </c>
      <c r="E12" s="8" t="n">
        <v>29164</v>
      </c>
      <c r="F12" s="19" t="n">
        <f aca="false">IF(D12=0,0,E12/D12)</f>
        <v>1</v>
      </c>
      <c r="G12" s="15" t="n">
        <v>7500000</v>
      </c>
      <c r="H12" s="20" t="n">
        <f aca="false">IF(G12=0,0,ROUND(D12/(G12/1000000),1))</f>
        <v>3888.5</v>
      </c>
      <c r="I12" s="21" t="n">
        <v>0.7279</v>
      </c>
      <c r="J12" s="21" t="n">
        <v>0.0984319454691725</v>
      </c>
    </row>
    <row r="13" customFormat="false" ht="15" hidden="false" customHeight="false" outlineLevel="0" collapsed="false">
      <c r="A13" s="10" t="s">
        <v>117</v>
      </c>
      <c r="B13" s="10" t="s">
        <v>135</v>
      </c>
      <c r="C13" s="4" t="s">
        <v>136</v>
      </c>
      <c r="D13" s="8" t="n">
        <v>0</v>
      </c>
      <c r="E13" s="8" t="n">
        <v>0</v>
      </c>
      <c r="F13" s="19" t="n">
        <f aca="false">IF(D13=0,0,E13/D13)</f>
        <v>0</v>
      </c>
      <c r="G13" s="15" t="n">
        <v>0</v>
      </c>
      <c r="H13" s="20" t="n">
        <f aca="false">IF(G13=0,0,ROUND(D13/(G13/1000000),1))</f>
        <v>0</v>
      </c>
      <c r="I13" s="21" t="n">
        <v>0</v>
      </c>
      <c r="J13" s="21" t="n">
        <v>0</v>
      </c>
    </row>
    <row r="14" customFormat="false" ht="15" hidden="false" customHeight="false" outlineLevel="0" collapsed="false">
      <c r="A14" s="10" t="s">
        <v>117</v>
      </c>
      <c r="B14" s="10" t="s">
        <v>140</v>
      </c>
      <c r="C14" s="4" t="s">
        <v>141</v>
      </c>
      <c r="D14" s="8" t="n">
        <v>15873</v>
      </c>
      <c r="E14" s="8" t="n">
        <v>15873</v>
      </c>
      <c r="F14" s="19" t="n">
        <f aca="false">IF(D14=0,0,E14/D14)</f>
        <v>1</v>
      </c>
      <c r="G14" s="15" t="n">
        <v>7499992.5</v>
      </c>
      <c r="H14" s="20" t="n">
        <f aca="false">IF(G14=0,0,ROUND(D14/(G14/1000000),1))</f>
        <v>2116.4</v>
      </c>
      <c r="I14" s="21" t="n">
        <v>0</v>
      </c>
      <c r="J14" s="21" t="n">
        <v>0.0535747798873479</v>
      </c>
    </row>
    <row r="15" customFormat="false" ht="15" hidden="false" customHeight="false" outlineLevel="0" collapsed="false">
      <c r="A15" s="10" t="s">
        <v>117</v>
      </c>
      <c r="B15" s="10" t="s">
        <v>145</v>
      </c>
      <c r="C15" s="4" t="s">
        <v>146</v>
      </c>
      <c r="D15" s="8" t="n">
        <v>15873</v>
      </c>
      <c r="E15" s="8" t="n">
        <v>15873</v>
      </c>
      <c r="F15" s="19" t="n">
        <f aca="false">IF(D15=0,0,E15/D15)</f>
        <v>1</v>
      </c>
      <c r="G15" s="15" t="n">
        <v>7499992.5</v>
      </c>
      <c r="H15" s="20" t="n">
        <f aca="false">IF(G15=0,0,ROUND(D15/(G15/1000000),1))</f>
        <v>2116.4</v>
      </c>
      <c r="I15" s="21" t="n">
        <v>0</v>
      </c>
      <c r="J15" s="21" t="n">
        <v>0.0535747798873479</v>
      </c>
    </row>
    <row r="16" customFormat="false" ht="15" hidden="false" customHeight="false" outlineLevel="0" collapsed="false">
      <c r="A16" s="10" t="s">
        <v>117</v>
      </c>
      <c r="B16" s="10" t="s">
        <v>150</v>
      </c>
      <c r="C16" s="4" t="s">
        <v>151</v>
      </c>
      <c r="D16" s="8" t="n">
        <v>15873</v>
      </c>
      <c r="E16" s="8" t="n">
        <v>15873</v>
      </c>
      <c r="F16" s="19" t="n">
        <f aca="false">IF(D16=0,0,E16/D16)</f>
        <v>1</v>
      </c>
      <c r="G16" s="15" t="n">
        <v>7500000</v>
      </c>
      <c r="H16" s="20" t="n">
        <f aca="false">IF(G16=0,0,ROUND(D16/(G16/1000000),1))</f>
        <v>2116.4</v>
      </c>
      <c r="I16" s="21" t="n">
        <v>1</v>
      </c>
      <c r="J16" s="21" t="n">
        <v>0.0535747798873479</v>
      </c>
    </row>
    <row r="17" customFormat="false" ht="15" hidden="false" customHeight="false" outlineLevel="0" collapsed="false">
      <c r="A17" s="10" t="s">
        <v>117</v>
      </c>
      <c r="B17" s="10" t="s">
        <v>155</v>
      </c>
      <c r="C17" s="4" t="s">
        <v>156</v>
      </c>
      <c r="D17" s="8" t="n">
        <v>15518</v>
      </c>
      <c r="E17" s="8" t="n">
        <v>15518</v>
      </c>
      <c r="F17" s="19" t="n">
        <f aca="false">IF(D17=0,0,E17/D17)</f>
        <v>1</v>
      </c>
      <c r="G17" s="15" t="n">
        <v>7499992.5</v>
      </c>
      <c r="H17" s="20" t="n">
        <f aca="false">IF(G17=0,0,ROUND(D17/(G17/1000000),1))</f>
        <v>2069.1</v>
      </c>
      <c r="I17" s="21" t="n">
        <v>0.4885</v>
      </c>
      <c r="J17" s="21" t="n">
        <v>0.0523747312027806</v>
      </c>
    </row>
    <row r="18" customFormat="false" ht="15" hidden="false" customHeight="false" outlineLevel="0" collapsed="false">
      <c r="A18" s="10" t="s">
        <v>117</v>
      </c>
      <c r="B18" s="10" t="s">
        <v>160</v>
      </c>
      <c r="C18" s="4" t="s">
        <v>161</v>
      </c>
      <c r="D18" s="8" t="n">
        <v>15873</v>
      </c>
      <c r="E18" s="8" t="n">
        <v>15873</v>
      </c>
      <c r="F18" s="19" t="n">
        <f aca="false">IF(D18=0,0,E18/D18)</f>
        <v>1</v>
      </c>
      <c r="G18" s="15" t="n">
        <v>7499992.5</v>
      </c>
      <c r="H18" s="20" t="n">
        <f aca="false">IF(G18=0,0,ROUND(D18/(G18/1000000),1))</f>
        <v>2116.4</v>
      </c>
      <c r="I18" s="21" t="n">
        <v>0</v>
      </c>
      <c r="J18" s="21" t="n">
        <v>0.0535747798873479</v>
      </c>
    </row>
    <row r="19" customFormat="false" ht="15" hidden="false" customHeight="false" outlineLevel="0" collapsed="false">
      <c r="A19" s="10" t="s">
        <v>117</v>
      </c>
      <c r="B19" s="10" t="s">
        <v>165</v>
      </c>
      <c r="C19" s="4" t="s">
        <v>166</v>
      </c>
      <c r="D19" s="8" t="n">
        <v>15873</v>
      </c>
      <c r="E19" s="8" t="n">
        <v>15873</v>
      </c>
      <c r="F19" s="19" t="n">
        <f aca="false">IF(D19=0,0,E19/D19)</f>
        <v>1</v>
      </c>
      <c r="G19" s="15" t="n">
        <v>7500000</v>
      </c>
      <c r="H19" s="20" t="n">
        <f aca="false">IF(G19=0,0,ROUND(D19/(G19/1000000),1))</f>
        <v>2116.4</v>
      </c>
      <c r="I19" s="21" t="n">
        <v>0</v>
      </c>
      <c r="J19" s="21" t="n">
        <v>0.0535748334621814</v>
      </c>
    </row>
    <row r="20" customFormat="false" ht="15" hidden="false" customHeight="false" outlineLevel="0" collapsed="false">
      <c r="A20" s="10" t="s">
        <v>117</v>
      </c>
      <c r="B20" s="10" t="s">
        <v>170</v>
      </c>
      <c r="C20" s="4" t="s">
        <v>171</v>
      </c>
      <c r="D20" s="8" t="n">
        <v>15873</v>
      </c>
      <c r="E20" s="8" t="n">
        <v>15873</v>
      </c>
      <c r="F20" s="19" t="n">
        <f aca="false">IF(D20=0,0,E20/D20)</f>
        <v>1</v>
      </c>
      <c r="G20" s="15" t="n">
        <v>7500000</v>
      </c>
      <c r="H20" s="20" t="n">
        <f aca="false">IF(G20=0,0,ROUND(D20/(G20/1000000),1))</f>
        <v>2116.4</v>
      </c>
      <c r="I20" s="21" t="n">
        <v>0.5</v>
      </c>
      <c r="J20" s="21" t="n">
        <v>0.0535747798873479</v>
      </c>
    </row>
    <row r="21" customFormat="false" ht="15" hidden="false" customHeight="false" outlineLevel="0" collapsed="false">
      <c r="A21" s="10" t="s">
        <v>119</v>
      </c>
      <c r="B21" s="10" t="s">
        <v>135</v>
      </c>
      <c r="C21" s="4" t="s">
        <v>136</v>
      </c>
      <c r="D21" s="8" t="n">
        <v>0</v>
      </c>
      <c r="E21" s="8" t="n">
        <v>0</v>
      </c>
      <c r="F21" s="19" t="n">
        <f aca="false">IF(D21=0,0,E21/D21)</f>
        <v>0</v>
      </c>
      <c r="G21" s="15" t="n">
        <v>0</v>
      </c>
      <c r="H21" s="20" t="n">
        <f aca="false">IF(G21=0,0,ROUND(D21/(G21/1000000),1))</f>
        <v>0</v>
      </c>
      <c r="I21" s="21" t="n">
        <v>0</v>
      </c>
      <c r="J21" s="21" t="n">
        <v>0</v>
      </c>
    </row>
    <row r="22" customFormat="false" ht="15" hidden="false" customHeight="false" outlineLevel="0" collapsed="false">
      <c r="A22" s="10" t="s">
        <v>119</v>
      </c>
      <c r="B22" s="10" t="s">
        <v>140</v>
      </c>
      <c r="C22" s="4" t="s">
        <v>141</v>
      </c>
      <c r="D22" s="8" t="n">
        <v>169817</v>
      </c>
      <c r="E22" s="8" t="n">
        <v>128794</v>
      </c>
      <c r="F22" s="19" t="n">
        <f aca="false">IF(D22=0,0,E22/D22)</f>
        <v>0.758428190346078</v>
      </c>
      <c r="G22" s="15" t="n">
        <v>30000000</v>
      </c>
      <c r="H22" s="20" t="n">
        <f aca="false">IF(G22=0,0,ROUND(D22/(G22/1000000),1))</f>
        <v>5660.6</v>
      </c>
      <c r="I22" s="21" t="n">
        <v>1</v>
      </c>
      <c r="J22" s="21" t="n">
        <v>0.573156444203989</v>
      </c>
    </row>
    <row r="23" customFormat="false" ht="15" hidden="false" customHeight="false" outlineLevel="0" collapsed="false">
      <c r="A23" s="10" t="s">
        <v>119</v>
      </c>
      <c r="B23" s="10" t="s">
        <v>145</v>
      </c>
      <c r="C23" s="4" t="s">
        <v>146</v>
      </c>
      <c r="D23" s="8" t="n">
        <v>169817</v>
      </c>
      <c r="E23" s="8" t="n">
        <v>128794</v>
      </c>
      <c r="F23" s="19" t="n">
        <f aca="false">IF(D23=0,0,E23/D23)</f>
        <v>0.758428190346078</v>
      </c>
      <c r="G23" s="15" t="n">
        <v>30000000</v>
      </c>
      <c r="H23" s="20" t="n">
        <f aca="false">IF(G23=0,0,ROUND(D23/(G23/1000000),1))</f>
        <v>5660.6</v>
      </c>
      <c r="I23" s="21" t="n">
        <v>1</v>
      </c>
      <c r="J23" s="21" t="n">
        <v>0.573156444203989</v>
      </c>
    </row>
    <row r="24" customFormat="false" ht="15" hidden="false" customHeight="false" outlineLevel="0" collapsed="false">
      <c r="A24" s="10" t="s">
        <v>119</v>
      </c>
      <c r="B24" s="10" t="s">
        <v>150</v>
      </c>
      <c r="C24" s="4" t="s">
        <v>151</v>
      </c>
      <c r="D24" s="8" t="n">
        <v>169817</v>
      </c>
      <c r="E24" s="8" t="n">
        <v>128794</v>
      </c>
      <c r="F24" s="19" t="n">
        <f aca="false">IF(D24=0,0,E24/D24)</f>
        <v>0.758428190346078</v>
      </c>
      <c r="G24" s="15" t="n">
        <v>29999970</v>
      </c>
      <c r="H24" s="20" t="n">
        <f aca="false">IF(G24=0,0,ROUND(D24/(G24/1000000),1))</f>
        <v>5660.6</v>
      </c>
      <c r="I24" s="21" t="n">
        <v>1</v>
      </c>
      <c r="J24" s="21" t="n">
        <v>0.573156444203989</v>
      </c>
    </row>
    <row r="25" customFormat="false" ht="15" hidden="false" customHeight="false" outlineLevel="0" collapsed="false">
      <c r="A25" s="10" t="s">
        <v>119</v>
      </c>
      <c r="B25" s="10" t="s">
        <v>155</v>
      </c>
      <c r="C25" s="4" t="s">
        <v>156</v>
      </c>
      <c r="D25" s="8" t="n">
        <v>169817</v>
      </c>
      <c r="E25" s="8" t="n">
        <v>128794</v>
      </c>
      <c r="F25" s="19" t="n">
        <f aca="false">IF(D25=0,0,E25/D25)</f>
        <v>0.758428190346078</v>
      </c>
      <c r="G25" s="15" t="n">
        <v>30000000</v>
      </c>
      <c r="H25" s="20" t="n">
        <f aca="false">IF(G25=0,0,ROUND(D25/(G25/1000000),1))</f>
        <v>5660.6</v>
      </c>
      <c r="I25" s="21" t="n">
        <v>1</v>
      </c>
      <c r="J25" s="21" t="n">
        <v>0.573156444203989</v>
      </c>
    </row>
    <row r="26" customFormat="false" ht="15" hidden="false" customHeight="false" outlineLevel="0" collapsed="false">
      <c r="A26" s="10" t="s">
        <v>119</v>
      </c>
      <c r="B26" s="10" t="s">
        <v>160</v>
      </c>
      <c r="C26" s="4" t="s">
        <v>161</v>
      </c>
      <c r="D26" s="8" t="n">
        <v>169817</v>
      </c>
      <c r="E26" s="8" t="n">
        <v>128794</v>
      </c>
      <c r="F26" s="19" t="n">
        <f aca="false">IF(D26=0,0,E26/D26)</f>
        <v>0.758428190346078</v>
      </c>
      <c r="G26" s="15" t="n">
        <v>30000000</v>
      </c>
      <c r="H26" s="20" t="n">
        <f aca="false">IF(G26=0,0,ROUND(D26/(G26/1000000),1))</f>
        <v>5660.6</v>
      </c>
      <c r="I26" s="21" t="n">
        <v>1</v>
      </c>
      <c r="J26" s="21" t="n">
        <v>0.573156444203989</v>
      </c>
    </row>
    <row r="27" customFormat="false" ht="15" hidden="false" customHeight="false" outlineLevel="0" collapsed="false">
      <c r="A27" s="10" t="s">
        <v>119</v>
      </c>
      <c r="B27" s="10" t="s">
        <v>165</v>
      </c>
      <c r="C27" s="4" t="s">
        <v>166</v>
      </c>
      <c r="D27" s="8" t="n">
        <v>63493</v>
      </c>
      <c r="E27" s="8" t="n">
        <v>63493</v>
      </c>
      <c r="F27" s="19" t="n">
        <f aca="false">IF(D27=0,0,E27/D27)</f>
        <v>1</v>
      </c>
      <c r="G27" s="15" t="n">
        <v>29999970</v>
      </c>
      <c r="H27" s="20" t="n">
        <f aca="false">IF(G27=0,0,ROUND(D27/(G27/1000000),1))</f>
        <v>2116.4</v>
      </c>
      <c r="I27" s="21" t="n">
        <v>0</v>
      </c>
      <c r="J27" s="21" t="n">
        <v>0.214299119549392</v>
      </c>
    </row>
    <row r="28" customFormat="false" ht="15" hidden="false" customHeight="false" outlineLevel="0" collapsed="false">
      <c r="A28" s="10" t="s">
        <v>119</v>
      </c>
      <c r="B28" s="10" t="s">
        <v>170</v>
      </c>
      <c r="C28" s="4" t="s">
        <v>171</v>
      </c>
      <c r="D28" s="8" t="n">
        <v>116655</v>
      </c>
      <c r="E28" s="8" t="n">
        <v>116655</v>
      </c>
      <c r="F28" s="19" t="n">
        <f aca="false">IF(D28=0,0,E28/D28)</f>
        <v>1</v>
      </c>
      <c r="G28" s="15" t="n">
        <v>30000000</v>
      </c>
      <c r="H28" s="20" t="n">
        <f aca="false">IF(G28=0,0,ROUND(D28/(G28/1000000),1))</f>
        <v>3888.5</v>
      </c>
      <c r="I28" s="21" t="n">
        <v>0.7279</v>
      </c>
      <c r="J28" s="21" t="n">
        <v>0.39372778187669</v>
      </c>
    </row>
    <row r="29" customFormat="false" ht="15" hidden="false" customHeight="false" outlineLevel="0" collapsed="false">
      <c r="A29" s="10" t="s">
        <v>121</v>
      </c>
      <c r="B29" s="10" t="s">
        <v>135</v>
      </c>
      <c r="C29" s="4" t="s">
        <v>136</v>
      </c>
      <c r="D29" s="8" t="n">
        <v>0</v>
      </c>
      <c r="E29" s="8" t="n">
        <v>0</v>
      </c>
      <c r="F29" s="19" t="n">
        <f aca="false">IF(D29=0,0,E29/D29)</f>
        <v>0</v>
      </c>
      <c r="G29" s="15" t="n">
        <v>0</v>
      </c>
      <c r="H29" s="20" t="n">
        <f aca="false">IF(G29=0,0,ROUND(D29/(G29/1000000),1))</f>
        <v>0</v>
      </c>
      <c r="I29" s="21" t="n">
        <v>0</v>
      </c>
      <c r="J29" s="21" t="n">
        <v>0</v>
      </c>
    </row>
    <row r="30" customFormat="false" ht="15" hidden="false" customHeight="false" outlineLevel="0" collapsed="false">
      <c r="A30" s="10" t="s">
        <v>121</v>
      </c>
      <c r="B30" s="10" t="s">
        <v>140</v>
      </c>
      <c r="C30" s="4" t="s">
        <v>141</v>
      </c>
      <c r="D30" s="8" t="n">
        <v>63493</v>
      </c>
      <c r="E30" s="8" t="n">
        <v>63493</v>
      </c>
      <c r="F30" s="19" t="n">
        <f aca="false">IF(D30=0,0,E30/D30)</f>
        <v>1</v>
      </c>
      <c r="G30" s="15" t="n">
        <v>29999970</v>
      </c>
      <c r="H30" s="20" t="n">
        <f aca="false">IF(G30=0,0,ROUND(D30/(G30/1000000),1))</f>
        <v>2116.4</v>
      </c>
      <c r="I30" s="21" t="n">
        <v>0</v>
      </c>
      <c r="J30" s="21" t="n">
        <v>0.214299119549392</v>
      </c>
    </row>
    <row r="31" customFormat="false" ht="15" hidden="false" customHeight="false" outlineLevel="0" collapsed="false">
      <c r="A31" s="10" t="s">
        <v>121</v>
      </c>
      <c r="B31" s="10" t="s">
        <v>145</v>
      </c>
      <c r="C31" s="4" t="s">
        <v>146</v>
      </c>
      <c r="D31" s="8" t="n">
        <v>63493</v>
      </c>
      <c r="E31" s="8" t="n">
        <v>63493</v>
      </c>
      <c r="F31" s="19" t="n">
        <f aca="false">IF(D31=0,0,E31/D31)</f>
        <v>1</v>
      </c>
      <c r="G31" s="15" t="n">
        <v>29999970</v>
      </c>
      <c r="H31" s="20" t="n">
        <f aca="false">IF(G31=0,0,ROUND(D31/(G31/1000000),1))</f>
        <v>2116.4</v>
      </c>
      <c r="I31" s="21" t="n">
        <v>0</v>
      </c>
      <c r="J31" s="21" t="n">
        <v>0.214299119549392</v>
      </c>
    </row>
    <row r="32" customFormat="false" ht="15" hidden="false" customHeight="false" outlineLevel="0" collapsed="false">
      <c r="A32" s="10" t="s">
        <v>121</v>
      </c>
      <c r="B32" s="10" t="s">
        <v>150</v>
      </c>
      <c r="C32" s="4" t="s">
        <v>151</v>
      </c>
      <c r="D32" s="8" t="n">
        <v>63493</v>
      </c>
      <c r="E32" s="8" t="n">
        <v>30239</v>
      </c>
      <c r="F32" s="19" t="n">
        <f aca="false">IF(D32=0,0,E32/D32)</f>
        <v>0.476257225205928</v>
      </c>
      <c r="G32" s="15" t="n">
        <v>30000000</v>
      </c>
      <c r="H32" s="20" t="n">
        <f aca="false">IF(G32=0,0,ROUND(D32/(G32/1000000),1))</f>
        <v>2116.4</v>
      </c>
      <c r="I32" s="21" t="n">
        <v>1</v>
      </c>
      <c r="J32" s="21" t="n">
        <v>0.214299119549392</v>
      </c>
    </row>
    <row r="33" customFormat="false" ht="15" hidden="false" customHeight="false" outlineLevel="0" collapsed="false">
      <c r="A33" s="10" t="s">
        <v>121</v>
      </c>
      <c r="B33" s="10" t="s">
        <v>155</v>
      </c>
      <c r="C33" s="4" t="s">
        <v>156</v>
      </c>
      <c r="D33" s="8" t="n">
        <v>62071</v>
      </c>
      <c r="E33" s="8" t="n">
        <v>62071</v>
      </c>
      <c r="F33" s="19" t="n">
        <f aca="false">IF(D33=0,0,E33/D33)</f>
        <v>1</v>
      </c>
      <c r="G33" s="15" t="n">
        <v>29999970</v>
      </c>
      <c r="H33" s="20" t="n">
        <f aca="false">IF(G33=0,0,ROUND(D33/(G33/1000000),1))</f>
        <v>2069</v>
      </c>
      <c r="I33" s="21" t="n">
        <v>0.4885</v>
      </c>
      <c r="J33" s="21" t="n">
        <v>0.209498924811122</v>
      </c>
    </row>
    <row r="34" customFormat="false" ht="15" hidden="false" customHeight="false" outlineLevel="0" collapsed="false">
      <c r="A34" s="10" t="s">
        <v>121</v>
      </c>
      <c r="B34" s="10" t="s">
        <v>160</v>
      </c>
      <c r="C34" s="4" t="s">
        <v>161</v>
      </c>
      <c r="D34" s="8" t="n">
        <v>63493</v>
      </c>
      <c r="E34" s="8" t="n">
        <v>63493</v>
      </c>
      <c r="F34" s="19" t="n">
        <f aca="false">IF(D34=0,0,E34/D34)</f>
        <v>1</v>
      </c>
      <c r="G34" s="15" t="n">
        <v>29999970</v>
      </c>
      <c r="H34" s="20" t="n">
        <f aca="false">IF(G34=0,0,ROUND(D34/(G34/1000000),1))</f>
        <v>2116.4</v>
      </c>
      <c r="I34" s="21" t="n">
        <v>0</v>
      </c>
      <c r="J34" s="21" t="n">
        <v>0.214299119549392</v>
      </c>
    </row>
    <row r="35" customFormat="false" ht="15" hidden="false" customHeight="false" outlineLevel="0" collapsed="false">
      <c r="A35" s="10" t="s">
        <v>121</v>
      </c>
      <c r="B35" s="10" t="s">
        <v>165</v>
      </c>
      <c r="C35" s="4" t="s">
        <v>166</v>
      </c>
      <c r="D35" s="8" t="n">
        <v>63493</v>
      </c>
      <c r="E35" s="8" t="n">
        <v>63493</v>
      </c>
      <c r="F35" s="19" t="n">
        <f aca="false">IF(D35=0,0,E35/D35)</f>
        <v>1</v>
      </c>
      <c r="G35" s="15" t="n">
        <v>29999970</v>
      </c>
      <c r="H35" s="20" t="n">
        <f aca="false">IF(G35=0,0,ROUND(D35/(G35/1000000),1))</f>
        <v>2116.4</v>
      </c>
      <c r="I35" s="21" t="n">
        <v>0</v>
      </c>
      <c r="J35" s="21" t="n">
        <v>0.214299119549392</v>
      </c>
    </row>
    <row r="36" customFormat="false" ht="15" hidden="false" customHeight="false" outlineLevel="0" collapsed="false">
      <c r="A36" s="10" t="s">
        <v>121</v>
      </c>
      <c r="B36" s="10" t="s">
        <v>170</v>
      </c>
      <c r="C36" s="4" t="s">
        <v>171</v>
      </c>
      <c r="D36" s="8" t="n">
        <v>63493</v>
      </c>
      <c r="E36" s="8" t="n">
        <v>61986</v>
      </c>
      <c r="F36" s="19" t="n">
        <f aca="false">IF(D36=0,0,E36/D36)</f>
        <v>0.976265100089774</v>
      </c>
      <c r="G36" s="15" t="n">
        <v>30000000</v>
      </c>
      <c r="H36" s="20" t="n">
        <f aca="false">IF(G36=0,0,ROUND(D36/(G36/1000000),1))</f>
        <v>2116.4</v>
      </c>
      <c r="I36" s="21" t="n">
        <v>0.5</v>
      </c>
      <c r="J36" s="21" t="n">
        <v>0.214299119549392</v>
      </c>
    </row>
    <row r="37" customFormat="false" ht="15" hidden="false" customHeight="false" outlineLevel="0" collapsed="false">
      <c r="A37" s="10" t="s">
        <v>123</v>
      </c>
      <c r="B37" s="10" t="s">
        <v>135</v>
      </c>
      <c r="C37" s="4" t="s">
        <v>136</v>
      </c>
      <c r="D37" s="8" t="n">
        <v>0</v>
      </c>
      <c r="E37" s="8" t="n">
        <v>0</v>
      </c>
      <c r="F37" s="19" t="n">
        <f aca="false">IF(D37=0,0,E37/D37)</f>
        <v>0</v>
      </c>
      <c r="G37" s="15" t="n">
        <v>0</v>
      </c>
      <c r="H37" s="20" t="n">
        <f aca="false">IF(G37=0,0,ROUND(D37/(G37/1000000),1))</f>
        <v>0</v>
      </c>
      <c r="I37" s="21" t="n">
        <v>0</v>
      </c>
      <c r="J37" s="21" t="n">
        <v>0</v>
      </c>
    </row>
    <row r="38" customFormat="false" ht="15" hidden="false" customHeight="false" outlineLevel="0" collapsed="false">
      <c r="A38" s="10" t="s">
        <v>123</v>
      </c>
      <c r="B38" s="10" t="s">
        <v>140</v>
      </c>
      <c r="C38" s="4" t="s">
        <v>141</v>
      </c>
      <c r="D38" s="8" t="n">
        <v>60649</v>
      </c>
      <c r="E38" s="8" t="n">
        <v>60649</v>
      </c>
      <c r="F38" s="19" t="n">
        <f aca="false">IF(D38=0,0,E38/D38)</f>
        <v>1</v>
      </c>
      <c r="G38" s="15" t="n">
        <v>15000000</v>
      </c>
      <c r="H38" s="20" t="n">
        <f aca="false">IF(G38=0,0,ROUND(D38/(G38/1000000),1))</f>
        <v>4043.3</v>
      </c>
      <c r="I38" s="21" t="n">
        <v>1</v>
      </c>
      <c r="J38" s="21" t="n">
        <v>0.204698730072853</v>
      </c>
    </row>
    <row r="39" customFormat="false" ht="15" hidden="false" customHeight="false" outlineLevel="0" collapsed="false">
      <c r="A39" s="10" t="s">
        <v>123</v>
      </c>
      <c r="B39" s="10" t="s">
        <v>145</v>
      </c>
      <c r="C39" s="4" t="s">
        <v>146</v>
      </c>
      <c r="D39" s="8" t="n">
        <v>60649</v>
      </c>
      <c r="E39" s="8" t="n">
        <v>60649</v>
      </c>
      <c r="F39" s="19" t="n">
        <f aca="false">IF(D39=0,0,E39/D39)</f>
        <v>1</v>
      </c>
      <c r="G39" s="15" t="n">
        <v>15000000</v>
      </c>
      <c r="H39" s="20" t="n">
        <f aca="false">IF(G39=0,0,ROUND(D39/(G39/1000000),1))</f>
        <v>4043.3</v>
      </c>
      <c r="I39" s="21" t="n">
        <v>1</v>
      </c>
      <c r="J39" s="21" t="n">
        <v>0.204698730072853</v>
      </c>
    </row>
    <row r="40" customFormat="false" ht="15" hidden="false" customHeight="false" outlineLevel="0" collapsed="false">
      <c r="A40" s="10" t="s">
        <v>123</v>
      </c>
      <c r="B40" s="10" t="s">
        <v>150</v>
      </c>
      <c r="C40" s="4" t="s">
        <v>151</v>
      </c>
      <c r="D40" s="8" t="n">
        <v>60649</v>
      </c>
      <c r="E40" s="8" t="n">
        <v>60649</v>
      </c>
      <c r="F40" s="19" t="n">
        <f aca="false">IF(D40=0,0,E40/D40)</f>
        <v>1</v>
      </c>
      <c r="G40" s="15" t="n">
        <v>15000000</v>
      </c>
      <c r="H40" s="20" t="n">
        <f aca="false">IF(G40=0,0,ROUND(D40/(G40/1000000),1))</f>
        <v>4043.3</v>
      </c>
      <c r="I40" s="21" t="n">
        <v>1</v>
      </c>
      <c r="J40" s="21" t="n">
        <v>0.204698730072853</v>
      </c>
    </row>
    <row r="41" customFormat="false" ht="15" hidden="false" customHeight="false" outlineLevel="0" collapsed="false">
      <c r="A41" s="10" t="s">
        <v>123</v>
      </c>
      <c r="B41" s="10" t="s">
        <v>155</v>
      </c>
      <c r="C41" s="4" t="s">
        <v>156</v>
      </c>
      <c r="D41" s="8" t="n">
        <v>60649</v>
      </c>
      <c r="E41" s="8" t="n">
        <v>60649</v>
      </c>
      <c r="F41" s="19" t="n">
        <f aca="false">IF(D41=0,0,E41/D41)</f>
        <v>1</v>
      </c>
      <c r="G41" s="15" t="n">
        <v>15000000</v>
      </c>
      <c r="H41" s="20" t="n">
        <f aca="false">IF(G41=0,0,ROUND(D41/(G41/1000000),1))</f>
        <v>4043.3</v>
      </c>
      <c r="I41" s="21" t="n">
        <v>1</v>
      </c>
      <c r="J41" s="21" t="n">
        <v>0.204698730072853</v>
      </c>
    </row>
    <row r="42" customFormat="false" ht="15" hidden="false" customHeight="false" outlineLevel="0" collapsed="false">
      <c r="A42" s="10" t="s">
        <v>123</v>
      </c>
      <c r="B42" s="10" t="s">
        <v>160</v>
      </c>
      <c r="C42" s="4" t="s">
        <v>161</v>
      </c>
      <c r="D42" s="8" t="n">
        <v>60649</v>
      </c>
      <c r="E42" s="8" t="n">
        <v>60649</v>
      </c>
      <c r="F42" s="19" t="n">
        <f aca="false">IF(D42=0,0,E42/D42)</f>
        <v>1</v>
      </c>
      <c r="G42" s="15" t="n">
        <v>15000000</v>
      </c>
      <c r="H42" s="20" t="n">
        <f aca="false">IF(G42=0,0,ROUND(D42/(G42/1000000),1))</f>
        <v>4043.3</v>
      </c>
      <c r="I42" s="21" t="n">
        <v>1</v>
      </c>
      <c r="J42" s="21" t="n">
        <v>0.204698730072853</v>
      </c>
    </row>
    <row r="43" customFormat="false" ht="15" hidden="false" customHeight="false" outlineLevel="0" collapsed="false">
      <c r="A43" s="10" t="s">
        <v>123</v>
      </c>
      <c r="B43" s="10" t="s">
        <v>165</v>
      </c>
      <c r="C43" s="4" t="s">
        <v>166</v>
      </c>
      <c r="D43" s="8" t="n">
        <v>31747</v>
      </c>
      <c r="E43" s="8" t="n">
        <v>31747</v>
      </c>
      <c r="F43" s="19" t="n">
        <f aca="false">IF(D43=0,0,E43/D43)</f>
        <v>1</v>
      </c>
      <c r="G43" s="15" t="n">
        <v>15000000</v>
      </c>
      <c r="H43" s="20" t="n">
        <f aca="false">IF(G43=0,0,ROUND(D43/(G43/1000000),1))</f>
        <v>2116.5</v>
      </c>
      <c r="I43" s="21" t="n">
        <v>0</v>
      </c>
      <c r="J43" s="21" t="n">
        <v>0.107149559774696</v>
      </c>
    </row>
    <row r="44" customFormat="false" ht="15" hidden="false" customHeight="false" outlineLevel="0" collapsed="false">
      <c r="A44" s="10" t="s">
        <v>123</v>
      </c>
      <c r="B44" s="10" t="s">
        <v>170</v>
      </c>
      <c r="C44" s="4" t="s">
        <v>171</v>
      </c>
      <c r="D44" s="8" t="n">
        <v>46198</v>
      </c>
      <c r="E44" s="8" t="n">
        <v>46198</v>
      </c>
      <c r="F44" s="19" t="n">
        <f aca="false">IF(D44=0,0,E44/D44)</f>
        <v>1</v>
      </c>
      <c r="G44" s="15" t="n">
        <v>15000000</v>
      </c>
      <c r="H44" s="20" t="n">
        <f aca="false">IF(G44=0,0,ROUND(D44/(G44/1000000),1))</f>
        <v>3079.9</v>
      </c>
      <c r="I44" s="21" t="n">
        <v>0.6564</v>
      </c>
      <c r="J44" s="21" t="n">
        <v>0.155924144923774</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70"/>
    <col collapsed="false" customWidth="true" hidden="false" outlineLevel="0" max="3" min="3" style="0" width="16"/>
    <col collapsed="false" customWidth="true" hidden="false" outlineLevel="0" max="4" min="4" style="0" width="12"/>
    <col collapsed="false" customWidth="true" hidden="false" outlineLevel="0" max="5" min="5" style="0" width="18"/>
    <col collapsed="false" customWidth="true" hidden="false" outlineLevel="0" max="6" min="6" style="0" width="16"/>
    <col collapsed="false" customWidth="true" hidden="false" outlineLevel="0" max="7" min="7" style="0" width="14"/>
  </cols>
  <sheetData>
    <row r="1" customFormat="false" ht="25.5" hidden="false" customHeight="true" outlineLevel="0" collapsed="false">
      <c r="A1" s="1" t="s">
        <v>186</v>
      </c>
      <c r="B1" s="1"/>
      <c r="C1" s="1"/>
      <c r="D1" s="1"/>
      <c r="E1" s="1"/>
      <c r="F1" s="1"/>
      <c r="G1" s="1"/>
      <c r="H1" s="1"/>
      <c r="I1" s="1"/>
    </row>
    <row r="2" customFormat="false" ht="27.75" hidden="false" customHeight="true" outlineLevel="0" collapsed="false">
      <c r="A2" s="2" t="s">
        <v>187</v>
      </c>
      <c r="B2" s="2"/>
      <c r="C2" s="2"/>
      <c r="D2" s="2"/>
      <c r="E2" s="2"/>
      <c r="F2" s="2"/>
      <c r="G2" s="2"/>
      <c r="H2" s="2"/>
      <c r="I2" s="2"/>
    </row>
    <row r="4" customFormat="false" ht="15" hidden="false" customHeight="false" outlineLevel="0" collapsed="false">
      <c r="A4" s="5" t="s">
        <v>188</v>
      </c>
    </row>
    <row r="5" customFormat="false" ht="15" hidden="false" customHeight="false" outlineLevel="0" collapsed="false">
      <c r="A5" s="22" t="s">
        <v>189</v>
      </c>
      <c r="B5" s="22" t="s">
        <v>190</v>
      </c>
      <c r="C5" s="22" t="s">
        <v>191</v>
      </c>
    </row>
    <row r="6" customFormat="false" ht="15" hidden="false" customHeight="false" outlineLevel="0" collapsed="false">
      <c r="A6" s="14" t="s">
        <v>179</v>
      </c>
      <c r="B6" s="14" t="s">
        <v>192</v>
      </c>
      <c r="C6" s="23" t="n">
        <v>1</v>
      </c>
    </row>
    <row r="7" customFormat="false" ht="15" hidden="false" customHeight="false" outlineLevel="0" collapsed="false">
      <c r="A7" s="14" t="s">
        <v>180</v>
      </c>
      <c r="B7" s="14" t="s">
        <v>192</v>
      </c>
      <c r="C7" s="23" t="n">
        <v>1</v>
      </c>
    </row>
    <row r="8" customFormat="false" ht="15" hidden="false" customHeight="false" outlineLevel="0" collapsed="false">
      <c r="A8" s="14" t="s">
        <v>183</v>
      </c>
      <c r="B8" s="14" t="s">
        <v>192</v>
      </c>
      <c r="C8" s="23" t="n">
        <v>1</v>
      </c>
    </row>
    <row r="9" customFormat="false" ht="15" hidden="false" customHeight="false" outlineLevel="0" collapsed="false">
      <c r="A9" s="14" t="s">
        <v>184</v>
      </c>
      <c r="B9" s="14" t="s">
        <v>193</v>
      </c>
      <c r="C9" s="23" t="n">
        <v>1</v>
      </c>
    </row>
    <row r="12" customFormat="false" ht="31.5" hidden="false" customHeight="true" outlineLevel="0" collapsed="false">
      <c r="A12" s="6" t="s">
        <v>178</v>
      </c>
      <c r="B12" s="6" t="s">
        <v>129</v>
      </c>
      <c r="C12" s="6" t="s">
        <v>194</v>
      </c>
      <c r="D12" s="6" t="s">
        <v>195</v>
      </c>
      <c r="E12" s="6" t="s">
        <v>196</v>
      </c>
      <c r="F12" s="6" t="s">
        <v>197</v>
      </c>
      <c r="G12" s="6" t="s">
        <v>198</v>
      </c>
    </row>
    <row r="13" customFormat="false" ht="15" hidden="false" customHeight="false" outlineLevel="0" collapsed="false">
      <c r="A13" s="24" t="str">
        <f aca="false">'Results grid'!A5</f>
        <v>A1B1</v>
      </c>
      <c r="B13" s="24" t="str">
        <f aca="false">'Results grid'!B5</f>
        <v>S0</v>
      </c>
      <c r="C13" s="25" t="n">
        <f aca="false">RANK('Results grid'!D5,'Results grid'!$D$5:$D$44,0)</f>
        <v>36</v>
      </c>
      <c r="D13" s="25" t="n">
        <f aca="false">RANK('Results grid'!E5,'Results grid'!$E$5:$E$44,0)</f>
        <v>36</v>
      </c>
      <c r="E13" s="25" t="n">
        <f aca="false">RANK('Results grid'!H5,'Results grid'!$H$5:$H$44,0)</f>
        <v>36</v>
      </c>
      <c r="F13" s="25" t="n">
        <f aca="false">RANK('Results grid'!I5,'Results grid'!$I$5:$I$44,1)</f>
        <v>1</v>
      </c>
      <c r="G13" s="25" t="n">
        <f aca="false">C13*$C$6+D13*$C$7+E13*$C$8+F13*$C$9</f>
        <v>109</v>
      </c>
    </row>
    <row r="14" customFormat="false" ht="15" hidden="false" customHeight="false" outlineLevel="0" collapsed="false">
      <c r="A14" s="24" t="str">
        <f aca="false">'Results grid'!A6</f>
        <v>A1B1</v>
      </c>
      <c r="B14" s="24" t="str">
        <f aca="false">'Results grid'!B6</f>
        <v>S1</v>
      </c>
      <c r="C14" s="25" t="n">
        <f aca="false">RANK('Results grid'!D6,'Results grid'!$D$5:$D$44,0)</f>
        <v>21</v>
      </c>
      <c r="D14" s="25" t="n">
        <f aca="false">RANK('Results grid'!E6,'Results grid'!$E$5:$E$44,0)</f>
        <v>20</v>
      </c>
      <c r="E14" s="25" t="n">
        <f aca="false">RANK('Results grid'!H6,'Results grid'!$H$5:$H$44,0)</f>
        <v>6</v>
      </c>
      <c r="F14" s="25" t="n">
        <f aca="false">RANK('Results grid'!I6,'Results grid'!$I$5:$I$44,1)</f>
        <v>24</v>
      </c>
      <c r="G14" s="25" t="n">
        <f aca="false">C14*$C$6+D14*$C$7+E14*$C$8+F14*$C$9</f>
        <v>71</v>
      </c>
    </row>
    <row r="15" customFormat="false" ht="15" hidden="false" customHeight="false" outlineLevel="0" collapsed="false">
      <c r="A15" s="24" t="str">
        <f aca="false">'Results grid'!A7</f>
        <v>A1B1</v>
      </c>
      <c r="B15" s="24" t="str">
        <f aca="false">'Results grid'!B7</f>
        <v>S2</v>
      </c>
      <c r="C15" s="25" t="n">
        <f aca="false">RANK('Results grid'!D7,'Results grid'!$D$5:$D$44,0)</f>
        <v>21</v>
      </c>
      <c r="D15" s="25" t="n">
        <f aca="false">RANK('Results grid'!E7,'Results grid'!$E$5:$E$44,0)</f>
        <v>20</v>
      </c>
      <c r="E15" s="25" t="n">
        <f aca="false">RANK('Results grid'!H7,'Results grid'!$H$5:$H$44,0)</f>
        <v>6</v>
      </c>
      <c r="F15" s="25" t="n">
        <f aca="false">RANK('Results grid'!I7,'Results grid'!$I$5:$I$44,1)</f>
        <v>24</v>
      </c>
      <c r="G15" s="25" t="n">
        <f aca="false">C15*$C$6+D15*$C$7+E15*$C$8+F15*$C$9</f>
        <v>71</v>
      </c>
    </row>
    <row r="16" customFormat="false" ht="15" hidden="false" customHeight="false" outlineLevel="0" collapsed="false">
      <c r="A16" s="24" t="str">
        <f aca="false">'Results grid'!A8</f>
        <v>A1B1</v>
      </c>
      <c r="B16" s="24" t="str">
        <f aca="false">'Results grid'!B8</f>
        <v>S3</v>
      </c>
      <c r="C16" s="25" t="n">
        <f aca="false">RANK('Results grid'!D8,'Results grid'!$D$5:$D$44,0)</f>
        <v>21</v>
      </c>
      <c r="D16" s="25" t="n">
        <f aca="false">RANK('Results grid'!E8,'Results grid'!$E$5:$E$44,0)</f>
        <v>20</v>
      </c>
      <c r="E16" s="25" t="n">
        <f aca="false">RANK('Results grid'!H8,'Results grid'!$H$5:$H$44,0)</f>
        <v>6</v>
      </c>
      <c r="F16" s="25" t="n">
        <f aca="false">RANK('Results grid'!I8,'Results grid'!$I$5:$I$44,1)</f>
        <v>24</v>
      </c>
      <c r="G16" s="25" t="n">
        <f aca="false">C16*$C$6+D16*$C$7+E16*$C$8+F16*$C$9</f>
        <v>71</v>
      </c>
    </row>
    <row r="17" customFormat="false" ht="15" hidden="false" customHeight="false" outlineLevel="0" collapsed="false">
      <c r="A17" s="24" t="str">
        <f aca="false">'Results grid'!A9</f>
        <v>A1B1</v>
      </c>
      <c r="B17" s="24" t="str">
        <f aca="false">'Results grid'!B9</f>
        <v>S4</v>
      </c>
      <c r="C17" s="25" t="n">
        <f aca="false">RANK('Results grid'!D9,'Results grid'!$D$5:$D$44,0)</f>
        <v>21</v>
      </c>
      <c r="D17" s="25" t="n">
        <f aca="false">RANK('Results grid'!E9,'Results grid'!$E$5:$E$44,0)</f>
        <v>20</v>
      </c>
      <c r="E17" s="25" t="n">
        <f aca="false">RANK('Results grid'!H9,'Results grid'!$H$5:$H$44,0)</f>
        <v>6</v>
      </c>
      <c r="F17" s="25" t="n">
        <f aca="false">RANK('Results grid'!I9,'Results grid'!$I$5:$I$44,1)</f>
        <v>24</v>
      </c>
      <c r="G17" s="25" t="n">
        <f aca="false">C17*$C$6+D17*$C$7+E17*$C$8+F17*$C$9</f>
        <v>71</v>
      </c>
    </row>
    <row r="18" customFormat="false" ht="15" hidden="false" customHeight="false" outlineLevel="0" collapsed="false">
      <c r="A18" s="24" t="str">
        <f aca="false">'Results grid'!A10</f>
        <v>A1B1</v>
      </c>
      <c r="B18" s="24" t="str">
        <f aca="false">'Results grid'!B10</f>
        <v>S5</v>
      </c>
      <c r="C18" s="25" t="n">
        <f aca="false">RANK('Results grid'!D10,'Results grid'!$D$5:$D$44,0)</f>
        <v>21</v>
      </c>
      <c r="D18" s="25" t="n">
        <f aca="false">RANK('Results grid'!E10,'Results grid'!$E$5:$E$44,0)</f>
        <v>20</v>
      </c>
      <c r="E18" s="25" t="n">
        <f aca="false">RANK('Results grid'!H10,'Results grid'!$H$5:$H$44,0)</f>
        <v>6</v>
      </c>
      <c r="F18" s="25" t="n">
        <f aca="false">RANK('Results grid'!I10,'Results grid'!$I$5:$I$44,1)</f>
        <v>24</v>
      </c>
      <c r="G18" s="25" t="n">
        <f aca="false">C18*$C$6+D18*$C$7+E18*$C$8+F18*$C$9</f>
        <v>71</v>
      </c>
    </row>
    <row r="19" customFormat="false" ht="15" hidden="false" customHeight="false" outlineLevel="0" collapsed="false">
      <c r="A19" s="24" t="str">
        <f aca="false">'Results grid'!A11</f>
        <v>A1B1</v>
      </c>
      <c r="B19" s="24" t="str">
        <f aca="false">'Results grid'!B11</f>
        <v>S7</v>
      </c>
      <c r="C19" s="25" t="n">
        <f aca="false">RANK('Results grid'!D11,'Results grid'!$D$5:$D$44,0)</f>
        <v>28</v>
      </c>
      <c r="D19" s="25" t="n">
        <f aca="false">RANK('Results grid'!E11,'Results grid'!$E$5:$E$44,0)</f>
        <v>28</v>
      </c>
      <c r="E19" s="25" t="n">
        <f aca="false">RANK('Results grid'!H11,'Results grid'!$H$5:$H$44,0)</f>
        <v>20</v>
      </c>
      <c r="F19" s="25" t="n">
        <f aca="false">RANK('Results grid'!I11,'Results grid'!$I$5:$I$44,1)</f>
        <v>1</v>
      </c>
      <c r="G19" s="25" t="n">
        <f aca="false">C19*$C$6+D19*$C$7+E19*$C$8+F19*$C$9</f>
        <v>77</v>
      </c>
    </row>
    <row r="20" customFormat="false" ht="15" hidden="false" customHeight="false" outlineLevel="0" collapsed="false">
      <c r="A20" s="24" t="str">
        <f aca="false">'Results grid'!A12</f>
        <v>A1B1</v>
      </c>
      <c r="B20" s="24" t="str">
        <f aca="false">'Results grid'!B12</f>
        <v>S6</v>
      </c>
      <c r="C20" s="25" t="n">
        <f aca="false">RANK('Results grid'!D12,'Results grid'!$D$5:$D$44,0)</f>
        <v>27</v>
      </c>
      <c r="D20" s="25" t="n">
        <f aca="false">RANK('Results grid'!E12,'Results grid'!$E$5:$E$44,0)</f>
        <v>27</v>
      </c>
      <c r="E20" s="25" t="n">
        <f aca="false">RANK('Results grid'!H12,'Results grid'!$H$5:$H$44,0)</f>
        <v>16</v>
      </c>
      <c r="F20" s="25" t="n">
        <f aca="false">RANK('Results grid'!I12,'Results grid'!$I$5:$I$44,1)</f>
        <v>22</v>
      </c>
      <c r="G20" s="25" t="n">
        <f aca="false">C20*$C$6+D20*$C$7+E20*$C$8+F20*$C$9</f>
        <v>92</v>
      </c>
    </row>
    <row r="21" customFormat="false" ht="15" hidden="false" customHeight="false" outlineLevel="0" collapsed="false">
      <c r="A21" s="24" t="str">
        <f aca="false">'Results grid'!A13</f>
        <v>A1B2</v>
      </c>
      <c r="B21" s="24" t="str">
        <f aca="false">'Results grid'!B13</f>
        <v>S0</v>
      </c>
      <c r="C21" s="25" t="n">
        <f aca="false">RANK('Results grid'!D13,'Results grid'!$D$5:$D$44,0)</f>
        <v>36</v>
      </c>
      <c r="D21" s="25" t="n">
        <f aca="false">RANK('Results grid'!E13,'Results grid'!$E$5:$E$44,0)</f>
        <v>36</v>
      </c>
      <c r="E21" s="25" t="n">
        <f aca="false">RANK('Results grid'!H13,'Results grid'!$H$5:$H$44,0)</f>
        <v>36</v>
      </c>
      <c r="F21" s="25" t="n">
        <f aca="false">RANK('Results grid'!I13,'Results grid'!$I$5:$I$44,1)</f>
        <v>1</v>
      </c>
      <c r="G21" s="25" t="n">
        <f aca="false">C21*$C$6+D21*$C$7+E21*$C$8+F21*$C$9</f>
        <v>109</v>
      </c>
    </row>
    <row r="22" customFormat="false" ht="15" hidden="false" customHeight="false" outlineLevel="0" collapsed="false">
      <c r="A22" s="24" t="str">
        <f aca="false">'Results grid'!A14</f>
        <v>A1B2</v>
      </c>
      <c r="B22" s="24" t="str">
        <f aca="false">'Results grid'!B14</f>
        <v>S1</v>
      </c>
      <c r="C22" s="25" t="n">
        <f aca="false">RANK('Results grid'!D14,'Results grid'!$D$5:$D$44,0)</f>
        <v>28</v>
      </c>
      <c r="D22" s="25" t="n">
        <f aca="false">RANK('Results grid'!E14,'Results grid'!$E$5:$E$44,0)</f>
        <v>28</v>
      </c>
      <c r="E22" s="25" t="n">
        <f aca="false">RANK('Results grid'!H14,'Results grid'!$H$5:$H$44,0)</f>
        <v>20</v>
      </c>
      <c r="F22" s="25" t="n">
        <f aca="false">RANK('Results grid'!I14,'Results grid'!$I$5:$I$44,1)</f>
        <v>1</v>
      </c>
      <c r="G22" s="25" t="n">
        <f aca="false">C22*$C$6+D22*$C$7+E22*$C$8+F22*$C$9</f>
        <v>77</v>
      </c>
    </row>
    <row r="23" customFormat="false" ht="15" hidden="false" customHeight="false" outlineLevel="0" collapsed="false">
      <c r="A23" s="24" t="str">
        <f aca="false">'Results grid'!A15</f>
        <v>A1B2</v>
      </c>
      <c r="B23" s="24" t="str">
        <f aca="false">'Results grid'!B15</f>
        <v>S2</v>
      </c>
      <c r="C23" s="25" t="n">
        <f aca="false">RANK('Results grid'!D15,'Results grid'!$D$5:$D$44,0)</f>
        <v>28</v>
      </c>
      <c r="D23" s="25" t="n">
        <f aca="false">RANK('Results grid'!E15,'Results grid'!$E$5:$E$44,0)</f>
        <v>28</v>
      </c>
      <c r="E23" s="25" t="n">
        <f aca="false">RANK('Results grid'!H15,'Results grid'!$H$5:$H$44,0)</f>
        <v>20</v>
      </c>
      <c r="F23" s="25" t="n">
        <f aca="false">RANK('Results grid'!I15,'Results grid'!$I$5:$I$44,1)</f>
        <v>1</v>
      </c>
      <c r="G23" s="25" t="n">
        <f aca="false">C23*$C$6+D23*$C$7+E23*$C$8+F23*$C$9</f>
        <v>77</v>
      </c>
    </row>
    <row r="24" customFormat="false" ht="15" hidden="false" customHeight="false" outlineLevel="0" collapsed="false">
      <c r="A24" s="24" t="str">
        <f aca="false">'Results grid'!A16</f>
        <v>A1B2</v>
      </c>
      <c r="B24" s="24" t="str">
        <f aca="false">'Results grid'!B16</f>
        <v>S3</v>
      </c>
      <c r="C24" s="25" t="n">
        <f aca="false">RANK('Results grid'!D16,'Results grid'!$D$5:$D$44,0)</f>
        <v>28</v>
      </c>
      <c r="D24" s="25" t="n">
        <f aca="false">RANK('Results grid'!E16,'Results grid'!$E$5:$E$44,0)</f>
        <v>28</v>
      </c>
      <c r="E24" s="25" t="n">
        <f aca="false">RANK('Results grid'!H16,'Results grid'!$H$5:$H$44,0)</f>
        <v>20</v>
      </c>
      <c r="F24" s="25" t="n">
        <f aca="false">RANK('Results grid'!I16,'Results grid'!$I$5:$I$44,1)</f>
        <v>24</v>
      </c>
      <c r="G24" s="25" t="n">
        <f aca="false">C24*$C$6+D24*$C$7+E24*$C$8+F24*$C$9</f>
        <v>100</v>
      </c>
    </row>
    <row r="25" customFormat="false" ht="15" hidden="false" customHeight="false" outlineLevel="0" collapsed="false">
      <c r="A25" s="24" t="str">
        <f aca="false">'Results grid'!A17</f>
        <v>A1B2</v>
      </c>
      <c r="B25" s="24" t="str">
        <f aca="false">'Results grid'!B17</f>
        <v>S4</v>
      </c>
      <c r="C25" s="25" t="n">
        <f aca="false">RANK('Results grid'!D17,'Results grid'!$D$5:$D$44,0)</f>
        <v>35</v>
      </c>
      <c r="D25" s="25" t="n">
        <f aca="false">RANK('Results grid'!E17,'Results grid'!$E$5:$E$44,0)</f>
        <v>35</v>
      </c>
      <c r="E25" s="25" t="n">
        <f aca="false">RANK('Results grid'!H17,'Results grid'!$H$5:$H$44,0)</f>
        <v>34</v>
      </c>
      <c r="F25" s="25" t="n">
        <f aca="false">RANK('Results grid'!I17,'Results grid'!$I$5:$I$44,1)</f>
        <v>17</v>
      </c>
      <c r="G25" s="25" t="n">
        <f aca="false">C25*$C$6+D25*$C$7+E25*$C$8+F25*$C$9</f>
        <v>121</v>
      </c>
    </row>
    <row r="26" customFormat="false" ht="15" hidden="false" customHeight="false" outlineLevel="0" collapsed="false">
      <c r="A26" s="24" t="str">
        <f aca="false">'Results grid'!A18</f>
        <v>A1B2</v>
      </c>
      <c r="B26" s="24" t="str">
        <f aca="false">'Results grid'!B18</f>
        <v>S5</v>
      </c>
      <c r="C26" s="25" t="n">
        <f aca="false">RANK('Results grid'!D18,'Results grid'!$D$5:$D$44,0)</f>
        <v>28</v>
      </c>
      <c r="D26" s="25" t="n">
        <f aca="false">RANK('Results grid'!E18,'Results grid'!$E$5:$E$44,0)</f>
        <v>28</v>
      </c>
      <c r="E26" s="25" t="n">
        <f aca="false">RANK('Results grid'!H18,'Results grid'!$H$5:$H$44,0)</f>
        <v>20</v>
      </c>
      <c r="F26" s="25" t="n">
        <f aca="false">RANK('Results grid'!I18,'Results grid'!$I$5:$I$44,1)</f>
        <v>1</v>
      </c>
      <c r="G26" s="25" t="n">
        <f aca="false">C26*$C$6+D26*$C$7+E26*$C$8+F26*$C$9</f>
        <v>77</v>
      </c>
    </row>
    <row r="27" customFormat="false" ht="15" hidden="false" customHeight="false" outlineLevel="0" collapsed="false">
      <c r="A27" s="24" t="str">
        <f aca="false">'Results grid'!A19</f>
        <v>A1B2</v>
      </c>
      <c r="B27" s="24" t="str">
        <f aca="false">'Results grid'!B19</f>
        <v>S7</v>
      </c>
      <c r="C27" s="25" t="n">
        <f aca="false">RANK('Results grid'!D19,'Results grid'!$D$5:$D$44,0)</f>
        <v>28</v>
      </c>
      <c r="D27" s="25" t="n">
        <f aca="false">RANK('Results grid'!E19,'Results grid'!$E$5:$E$44,0)</f>
        <v>28</v>
      </c>
      <c r="E27" s="25" t="n">
        <f aca="false">RANK('Results grid'!H19,'Results grid'!$H$5:$H$44,0)</f>
        <v>20</v>
      </c>
      <c r="F27" s="25" t="n">
        <f aca="false">RANK('Results grid'!I19,'Results grid'!$I$5:$I$44,1)</f>
        <v>1</v>
      </c>
      <c r="G27" s="25" t="n">
        <f aca="false">C27*$C$6+D27*$C$7+E27*$C$8+F27*$C$9</f>
        <v>77</v>
      </c>
    </row>
    <row r="28" customFormat="false" ht="15" hidden="false" customHeight="false" outlineLevel="0" collapsed="false">
      <c r="A28" s="24" t="str">
        <f aca="false">'Results grid'!A20</f>
        <v>A1B2</v>
      </c>
      <c r="B28" s="24" t="str">
        <f aca="false">'Results grid'!B20</f>
        <v>S6</v>
      </c>
      <c r="C28" s="25" t="n">
        <f aca="false">RANK('Results grid'!D20,'Results grid'!$D$5:$D$44,0)</f>
        <v>28</v>
      </c>
      <c r="D28" s="25" t="n">
        <f aca="false">RANK('Results grid'!E20,'Results grid'!$E$5:$E$44,0)</f>
        <v>28</v>
      </c>
      <c r="E28" s="25" t="n">
        <f aca="false">RANK('Results grid'!H20,'Results grid'!$H$5:$H$44,0)</f>
        <v>20</v>
      </c>
      <c r="F28" s="25" t="n">
        <f aca="false">RANK('Results grid'!I20,'Results grid'!$I$5:$I$44,1)</f>
        <v>19</v>
      </c>
      <c r="G28" s="25" t="n">
        <f aca="false">C28*$C$6+D28*$C$7+E28*$C$8+F28*$C$9</f>
        <v>95</v>
      </c>
    </row>
    <row r="29" customFormat="false" ht="15" hidden="false" customHeight="false" outlineLevel="0" collapsed="false">
      <c r="A29" s="24" t="str">
        <f aca="false">'Results grid'!A21</f>
        <v>A2B1</v>
      </c>
      <c r="B29" s="24" t="str">
        <f aca="false">'Results grid'!B21</f>
        <v>S0</v>
      </c>
      <c r="C29" s="25" t="n">
        <f aca="false">RANK('Results grid'!D21,'Results grid'!$D$5:$D$44,0)</f>
        <v>36</v>
      </c>
      <c r="D29" s="25" t="n">
        <f aca="false">RANK('Results grid'!E21,'Results grid'!$E$5:$E$44,0)</f>
        <v>36</v>
      </c>
      <c r="E29" s="25" t="n">
        <f aca="false">RANK('Results grid'!H21,'Results grid'!$H$5:$H$44,0)</f>
        <v>36</v>
      </c>
      <c r="F29" s="25" t="n">
        <f aca="false">RANK('Results grid'!I21,'Results grid'!$I$5:$I$44,1)</f>
        <v>1</v>
      </c>
      <c r="G29" s="25" t="n">
        <f aca="false">C29*$C$6+D29*$C$7+E29*$C$8+F29*$C$9</f>
        <v>109</v>
      </c>
    </row>
    <row r="30" customFormat="false" ht="15" hidden="false" customHeight="false" outlineLevel="0" collapsed="false">
      <c r="A30" s="24" t="str">
        <f aca="false">'Results grid'!A22</f>
        <v>A2B1</v>
      </c>
      <c r="B30" s="24" t="str">
        <f aca="false">'Results grid'!B22</f>
        <v>S1</v>
      </c>
      <c r="C30" s="25" t="n">
        <f aca="false">RANK('Results grid'!D22,'Results grid'!$D$5:$D$44,0)</f>
        <v>1</v>
      </c>
      <c r="D30" s="25" t="n">
        <f aca="false">RANK('Results grid'!E22,'Results grid'!$E$5:$E$44,0)</f>
        <v>1</v>
      </c>
      <c r="E30" s="25" t="n">
        <f aca="false">RANK('Results grid'!H22,'Results grid'!$H$5:$H$44,0)</f>
        <v>1</v>
      </c>
      <c r="F30" s="25" t="n">
        <f aca="false">RANK('Results grid'!I22,'Results grid'!$I$5:$I$44,1)</f>
        <v>24</v>
      </c>
      <c r="G30" s="25" t="n">
        <f aca="false">C30*$C$6+D30*$C$7+E30*$C$8+F30*$C$9</f>
        <v>27</v>
      </c>
    </row>
    <row r="31" customFormat="false" ht="15" hidden="false" customHeight="false" outlineLevel="0" collapsed="false">
      <c r="A31" s="24" t="str">
        <f aca="false">'Results grid'!A23</f>
        <v>A2B1</v>
      </c>
      <c r="B31" s="24" t="str">
        <f aca="false">'Results grid'!B23</f>
        <v>S2</v>
      </c>
      <c r="C31" s="25" t="n">
        <f aca="false">RANK('Results grid'!D23,'Results grid'!$D$5:$D$44,0)</f>
        <v>1</v>
      </c>
      <c r="D31" s="25" t="n">
        <f aca="false">RANK('Results grid'!E23,'Results grid'!$E$5:$E$44,0)</f>
        <v>1</v>
      </c>
      <c r="E31" s="25" t="n">
        <f aca="false">RANK('Results grid'!H23,'Results grid'!$H$5:$H$44,0)</f>
        <v>1</v>
      </c>
      <c r="F31" s="25" t="n">
        <f aca="false">RANK('Results grid'!I23,'Results grid'!$I$5:$I$44,1)</f>
        <v>24</v>
      </c>
      <c r="G31" s="25" t="n">
        <f aca="false">C31*$C$6+D31*$C$7+E31*$C$8+F31*$C$9</f>
        <v>27</v>
      </c>
    </row>
    <row r="32" customFormat="false" ht="15" hidden="false" customHeight="false" outlineLevel="0" collapsed="false">
      <c r="A32" s="24" t="str">
        <f aca="false">'Results grid'!A24</f>
        <v>A2B1</v>
      </c>
      <c r="B32" s="24" t="str">
        <f aca="false">'Results grid'!B24</f>
        <v>S3</v>
      </c>
      <c r="C32" s="25" t="n">
        <f aca="false">RANK('Results grid'!D24,'Results grid'!$D$5:$D$44,0)</f>
        <v>1</v>
      </c>
      <c r="D32" s="25" t="n">
        <f aca="false">RANK('Results grid'!E24,'Results grid'!$E$5:$E$44,0)</f>
        <v>1</v>
      </c>
      <c r="E32" s="25" t="n">
        <f aca="false">RANK('Results grid'!H24,'Results grid'!$H$5:$H$44,0)</f>
        <v>1</v>
      </c>
      <c r="F32" s="25" t="n">
        <f aca="false">RANK('Results grid'!I24,'Results grid'!$I$5:$I$44,1)</f>
        <v>24</v>
      </c>
      <c r="G32" s="25" t="n">
        <f aca="false">C32*$C$6+D32*$C$7+E32*$C$8+F32*$C$9</f>
        <v>27</v>
      </c>
    </row>
    <row r="33" customFormat="false" ht="15" hidden="false" customHeight="false" outlineLevel="0" collapsed="false">
      <c r="A33" s="24" t="str">
        <f aca="false">'Results grid'!A25</f>
        <v>A2B1</v>
      </c>
      <c r="B33" s="24" t="str">
        <f aca="false">'Results grid'!B25</f>
        <v>S4</v>
      </c>
      <c r="C33" s="25" t="n">
        <f aca="false">RANK('Results grid'!D25,'Results grid'!$D$5:$D$44,0)</f>
        <v>1</v>
      </c>
      <c r="D33" s="25" t="n">
        <f aca="false">RANK('Results grid'!E25,'Results grid'!$E$5:$E$44,0)</f>
        <v>1</v>
      </c>
      <c r="E33" s="25" t="n">
        <f aca="false">RANK('Results grid'!H25,'Results grid'!$H$5:$H$44,0)</f>
        <v>1</v>
      </c>
      <c r="F33" s="25" t="n">
        <f aca="false">RANK('Results grid'!I25,'Results grid'!$I$5:$I$44,1)</f>
        <v>24</v>
      </c>
      <c r="G33" s="25" t="n">
        <f aca="false">C33*$C$6+D33*$C$7+E33*$C$8+F33*$C$9</f>
        <v>27</v>
      </c>
    </row>
    <row r="34" customFormat="false" ht="15" hidden="false" customHeight="false" outlineLevel="0" collapsed="false">
      <c r="A34" s="24" t="str">
        <f aca="false">'Results grid'!A26</f>
        <v>A2B1</v>
      </c>
      <c r="B34" s="24" t="str">
        <f aca="false">'Results grid'!B26</f>
        <v>S5</v>
      </c>
      <c r="C34" s="25" t="n">
        <f aca="false">RANK('Results grid'!D26,'Results grid'!$D$5:$D$44,0)</f>
        <v>1</v>
      </c>
      <c r="D34" s="25" t="n">
        <f aca="false">RANK('Results grid'!E26,'Results grid'!$E$5:$E$44,0)</f>
        <v>1</v>
      </c>
      <c r="E34" s="25" t="n">
        <f aca="false">RANK('Results grid'!H26,'Results grid'!$H$5:$H$44,0)</f>
        <v>1</v>
      </c>
      <c r="F34" s="25" t="n">
        <f aca="false">RANK('Results grid'!I26,'Results grid'!$I$5:$I$44,1)</f>
        <v>24</v>
      </c>
      <c r="G34" s="25" t="n">
        <f aca="false">C34*$C$6+D34*$C$7+E34*$C$8+F34*$C$9</f>
        <v>27</v>
      </c>
    </row>
    <row r="35" customFormat="false" ht="15" hidden="false" customHeight="false" outlineLevel="0" collapsed="false">
      <c r="A35" s="24" t="str">
        <f aca="false">'Results grid'!A27</f>
        <v>A2B1</v>
      </c>
      <c r="B35" s="24" t="str">
        <f aca="false">'Results grid'!B27</f>
        <v>S7</v>
      </c>
      <c r="C35" s="25" t="n">
        <f aca="false">RANK('Results grid'!D27,'Results grid'!$D$5:$D$44,0)</f>
        <v>7</v>
      </c>
      <c r="D35" s="25" t="n">
        <f aca="false">RANK('Results grid'!E27,'Results grid'!$E$5:$E$44,0)</f>
        <v>7</v>
      </c>
      <c r="E35" s="25" t="n">
        <f aca="false">RANK('Results grid'!H27,'Results grid'!$H$5:$H$44,0)</f>
        <v>20</v>
      </c>
      <c r="F35" s="25" t="n">
        <f aca="false">RANK('Results grid'!I27,'Results grid'!$I$5:$I$44,1)</f>
        <v>1</v>
      </c>
      <c r="G35" s="25" t="n">
        <f aca="false">C35*$C$6+D35*$C$7+E35*$C$8+F35*$C$9</f>
        <v>35</v>
      </c>
    </row>
    <row r="36" customFormat="false" ht="15" hidden="false" customHeight="false" outlineLevel="0" collapsed="false">
      <c r="A36" s="24" t="str">
        <f aca="false">'Results grid'!A28</f>
        <v>A2B1</v>
      </c>
      <c r="B36" s="24" t="str">
        <f aca="false">'Results grid'!B28</f>
        <v>S6</v>
      </c>
      <c r="C36" s="25" t="n">
        <f aca="false">RANK('Results grid'!D28,'Results grid'!$D$5:$D$44,0)</f>
        <v>6</v>
      </c>
      <c r="D36" s="25" t="n">
        <f aca="false">RANK('Results grid'!E28,'Results grid'!$E$5:$E$44,0)</f>
        <v>6</v>
      </c>
      <c r="E36" s="25" t="n">
        <f aca="false">RANK('Results grid'!H28,'Results grid'!$H$5:$H$44,0)</f>
        <v>16</v>
      </c>
      <c r="F36" s="25" t="n">
        <f aca="false">RANK('Results grid'!I28,'Results grid'!$I$5:$I$44,1)</f>
        <v>22</v>
      </c>
      <c r="G36" s="25" t="n">
        <f aca="false">C36*$C$6+D36*$C$7+E36*$C$8+F36*$C$9</f>
        <v>50</v>
      </c>
    </row>
    <row r="37" customFormat="false" ht="15" hidden="false" customHeight="false" outlineLevel="0" collapsed="false">
      <c r="A37" s="24" t="str">
        <f aca="false">'Results grid'!A29</f>
        <v>A2B2</v>
      </c>
      <c r="B37" s="24" t="str">
        <f aca="false">'Results grid'!B29</f>
        <v>S0</v>
      </c>
      <c r="C37" s="25" t="n">
        <f aca="false">RANK('Results grid'!D29,'Results grid'!$D$5:$D$44,0)</f>
        <v>36</v>
      </c>
      <c r="D37" s="25" t="n">
        <f aca="false">RANK('Results grid'!E29,'Results grid'!$E$5:$E$44,0)</f>
        <v>36</v>
      </c>
      <c r="E37" s="25" t="n">
        <f aca="false">RANK('Results grid'!H29,'Results grid'!$H$5:$H$44,0)</f>
        <v>36</v>
      </c>
      <c r="F37" s="25" t="n">
        <f aca="false">RANK('Results grid'!I29,'Results grid'!$I$5:$I$44,1)</f>
        <v>1</v>
      </c>
      <c r="G37" s="25" t="n">
        <f aca="false">C37*$C$6+D37*$C$7+E37*$C$8+F37*$C$9</f>
        <v>109</v>
      </c>
    </row>
    <row r="38" customFormat="false" ht="15" hidden="false" customHeight="false" outlineLevel="0" collapsed="false">
      <c r="A38" s="24" t="str">
        <f aca="false">'Results grid'!A30</f>
        <v>A2B2</v>
      </c>
      <c r="B38" s="24" t="str">
        <f aca="false">'Results grid'!B30</f>
        <v>S1</v>
      </c>
      <c r="C38" s="25" t="n">
        <f aca="false">RANK('Results grid'!D30,'Results grid'!$D$5:$D$44,0)</f>
        <v>7</v>
      </c>
      <c r="D38" s="25" t="n">
        <f aca="false">RANK('Results grid'!E30,'Results grid'!$E$5:$E$44,0)</f>
        <v>7</v>
      </c>
      <c r="E38" s="25" t="n">
        <f aca="false">RANK('Results grid'!H30,'Results grid'!$H$5:$H$44,0)</f>
        <v>20</v>
      </c>
      <c r="F38" s="25" t="n">
        <f aca="false">RANK('Results grid'!I30,'Results grid'!$I$5:$I$44,1)</f>
        <v>1</v>
      </c>
      <c r="G38" s="25" t="n">
        <f aca="false">C38*$C$6+D38*$C$7+E38*$C$8+F38*$C$9</f>
        <v>35</v>
      </c>
    </row>
    <row r="39" customFormat="false" ht="15" hidden="false" customHeight="false" outlineLevel="0" collapsed="false">
      <c r="A39" s="24" t="str">
        <f aca="false">'Results grid'!A31</f>
        <v>A2B2</v>
      </c>
      <c r="B39" s="24" t="str">
        <f aca="false">'Results grid'!B31</f>
        <v>S2</v>
      </c>
      <c r="C39" s="25" t="n">
        <f aca="false">RANK('Results grid'!D31,'Results grid'!$D$5:$D$44,0)</f>
        <v>7</v>
      </c>
      <c r="D39" s="25" t="n">
        <f aca="false">RANK('Results grid'!E31,'Results grid'!$E$5:$E$44,0)</f>
        <v>7</v>
      </c>
      <c r="E39" s="25" t="n">
        <f aca="false">RANK('Results grid'!H31,'Results grid'!$H$5:$H$44,0)</f>
        <v>20</v>
      </c>
      <c r="F39" s="25" t="n">
        <f aca="false">RANK('Results grid'!I31,'Results grid'!$I$5:$I$44,1)</f>
        <v>1</v>
      </c>
      <c r="G39" s="25" t="n">
        <f aca="false">C39*$C$6+D39*$C$7+E39*$C$8+F39*$C$9</f>
        <v>35</v>
      </c>
    </row>
    <row r="40" customFormat="false" ht="15" hidden="false" customHeight="false" outlineLevel="0" collapsed="false">
      <c r="A40" s="24" t="str">
        <f aca="false">'Results grid'!A32</f>
        <v>A2B2</v>
      </c>
      <c r="B40" s="24" t="str">
        <f aca="false">'Results grid'!B32</f>
        <v>S3</v>
      </c>
      <c r="C40" s="25" t="n">
        <f aca="false">RANK('Results grid'!D32,'Results grid'!$D$5:$D$44,0)</f>
        <v>7</v>
      </c>
      <c r="D40" s="25" t="n">
        <f aca="false">RANK('Results grid'!E32,'Results grid'!$E$5:$E$44,0)</f>
        <v>26</v>
      </c>
      <c r="E40" s="25" t="n">
        <f aca="false">RANK('Results grid'!H32,'Results grid'!$H$5:$H$44,0)</f>
        <v>20</v>
      </c>
      <c r="F40" s="25" t="n">
        <f aca="false">RANK('Results grid'!I32,'Results grid'!$I$5:$I$44,1)</f>
        <v>24</v>
      </c>
      <c r="G40" s="25" t="n">
        <f aca="false">C40*$C$6+D40*$C$7+E40*$C$8+F40*$C$9</f>
        <v>77</v>
      </c>
    </row>
    <row r="41" customFormat="false" ht="15" hidden="false" customHeight="false" outlineLevel="0" collapsed="false">
      <c r="A41" s="24" t="str">
        <f aca="false">'Results grid'!A33</f>
        <v>A2B2</v>
      </c>
      <c r="B41" s="24" t="str">
        <f aca="false">'Results grid'!B33</f>
        <v>S4</v>
      </c>
      <c r="C41" s="25" t="n">
        <f aca="false">RANK('Results grid'!D33,'Results grid'!$D$5:$D$44,0)</f>
        <v>14</v>
      </c>
      <c r="D41" s="25" t="n">
        <f aca="false">RANK('Results grid'!E33,'Results grid'!$E$5:$E$44,0)</f>
        <v>12</v>
      </c>
      <c r="E41" s="25" t="n">
        <f aca="false">RANK('Results grid'!H33,'Results grid'!$H$5:$H$44,0)</f>
        <v>35</v>
      </c>
      <c r="F41" s="25" t="n">
        <f aca="false">RANK('Results grid'!I33,'Results grid'!$I$5:$I$44,1)</f>
        <v>17</v>
      </c>
      <c r="G41" s="25" t="n">
        <f aca="false">C41*$C$6+D41*$C$7+E41*$C$8+F41*$C$9</f>
        <v>78</v>
      </c>
    </row>
    <row r="42" customFormat="false" ht="15" hidden="false" customHeight="false" outlineLevel="0" collapsed="false">
      <c r="A42" s="24" t="str">
        <f aca="false">'Results grid'!A34</f>
        <v>A2B2</v>
      </c>
      <c r="B42" s="24" t="str">
        <f aca="false">'Results grid'!B34</f>
        <v>S5</v>
      </c>
      <c r="C42" s="25" t="n">
        <f aca="false">RANK('Results grid'!D34,'Results grid'!$D$5:$D$44,0)</f>
        <v>7</v>
      </c>
      <c r="D42" s="25" t="n">
        <f aca="false">RANK('Results grid'!E34,'Results grid'!$E$5:$E$44,0)</f>
        <v>7</v>
      </c>
      <c r="E42" s="25" t="n">
        <f aca="false">RANK('Results grid'!H34,'Results grid'!$H$5:$H$44,0)</f>
        <v>20</v>
      </c>
      <c r="F42" s="25" t="n">
        <f aca="false">RANK('Results grid'!I34,'Results grid'!$I$5:$I$44,1)</f>
        <v>1</v>
      </c>
      <c r="G42" s="25" t="n">
        <f aca="false">C42*$C$6+D42*$C$7+E42*$C$8+F42*$C$9</f>
        <v>35</v>
      </c>
    </row>
    <row r="43" customFormat="false" ht="15" hidden="false" customHeight="false" outlineLevel="0" collapsed="false">
      <c r="A43" s="24" t="str">
        <f aca="false">'Results grid'!A35</f>
        <v>A2B2</v>
      </c>
      <c r="B43" s="24" t="str">
        <f aca="false">'Results grid'!B35</f>
        <v>S7</v>
      </c>
      <c r="C43" s="25" t="n">
        <f aca="false">RANK('Results grid'!D35,'Results grid'!$D$5:$D$44,0)</f>
        <v>7</v>
      </c>
      <c r="D43" s="25" t="n">
        <f aca="false">RANK('Results grid'!E35,'Results grid'!$E$5:$E$44,0)</f>
        <v>7</v>
      </c>
      <c r="E43" s="25" t="n">
        <f aca="false">RANK('Results grid'!H35,'Results grid'!$H$5:$H$44,0)</f>
        <v>20</v>
      </c>
      <c r="F43" s="25" t="n">
        <f aca="false">RANK('Results grid'!I35,'Results grid'!$I$5:$I$44,1)</f>
        <v>1</v>
      </c>
      <c r="G43" s="25" t="n">
        <f aca="false">C43*$C$6+D43*$C$7+E43*$C$8+F43*$C$9</f>
        <v>35</v>
      </c>
    </row>
    <row r="44" customFormat="false" ht="15" hidden="false" customHeight="false" outlineLevel="0" collapsed="false">
      <c r="A44" s="24" t="str">
        <f aca="false">'Results grid'!A36</f>
        <v>A2B2</v>
      </c>
      <c r="B44" s="24" t="str">
        <f aca="false">'Results grid'!B36</f>
        <v>S6</v>
      </c>
      <c r="C44" s="25" t="n">
        <f aca="false">RANK('Results grid'!D36,'Results grid'!$D$5:$D$44,0)</f>
        <v>7</v>
      </c>
      <c r="D44" s="25" t="n">
        <f aca="false">RANK('Results grid'!E36,'Results grid'!$E$5:$E$44,0)</f>
        <v>13</v>
      </c>
      <c r="E44" s="25" t="n">
        <f aca="false">RANK('Results grid'!H36,'Results grid'!$H$5:$H$44,0)</f>
        <v>20</v>
      </c>
      <c r="F44" s="25" t="n">
        <f aca="false">RANK('Results grid'!I36,'Results grid'!$I$5:$I$44,1)</f>
        <v>19</v>
      </c>
      <c r="G44" s="25" t="n">
        <f aca="false">C44*$C$6+D44*$C$7+E44*$C$8+F44*$C$9</f>
        <v>59</v>
      </c>
    </row>
    <row r="45" customFormat="false" ht="15" hidden="false" customHeight="false" outlineLevel="0" collapsed="false">
      <c r="A45" s="24" t="str">
        <f aca="false">'Results grid'!A37</f>
        <v>BASE</v>
      </c>
      <c r="B45" s="24" t="str">
        <f aca="false">'Results grid'!B37</f>
        <v>S0</v>
      </c>
      <c r="C45" s="25" t="n">
        <f aca="false">RANK('Results grid'!D37,'Results grid'!$D$5:$D$44,0)</f>
        <v>36</v>
      </c>
      <c r="D45" s="25" t="n">
        <f aca="false">RANK('Results grid'!E37,'Results grid'!$E$5:$E$44,0)</f>
        <v>36</v>
      </c>
      <c r="E45" s="25" t="n">
        <f aca="false">RANK('Results grid'!H37,'Results grid'!$H$5:$H$44,0)</f>
        <v>36</v>
      </c>
      <c r="F45" s="25" t="n">
        <f aca="false">RANK('Results grid'!I37,'Results grid'!$I$5:$I$44,1)</f>
        <v>1</v>
      </c>
      <c r="G45" s="25" t="n">
        <f aca="false">C45*$C$6+D45*$C$7+E45*$C$8+F45*$C$9</f>
        <v>109</v>
      </c>
    </row>
    <row r="46" customFormat="false" ht="15" hidden="false" customHeight="false" outlineLevel="0" collapsed="false">
      <c r="A46" s="24" t="str">
        <f aca="false">'Results grid'!A38</f>
        <v>BASE</v>
      </c>
      <c r="B46" s="24" t="str">
        <f aca="false">'Results grid'!B38</f>
        <v>S1</v>
      </c>
      <c r="C46" s="25" t="n">
        <f aca="false">RANK('Results grid'!D38,'Results grid'!$D$5:$D$44,0)</f>
        <v>15</v>
      </c>
      <c r="D46" s="25" t="n">
        <f aca="false">RANK('Results grid'!E38,'Results grid'!$E$5:$E$44,0)</f>
        <v>14</v>
      </c>
      <c r="E46" s="25" t="n">
        <f aca="false">RANK('Results grid'!H38,'Results grid'!$H$5:$H$44,0)</f>
        <v>11</v>
      </c>
      <c r="F46" s="25" t="n">
        <f aca="false">RANK('Results grid'!I38,'Results grid'!$I$5:$I$44,1)</f>
        <v>24</v>
      </c>
      <c r="G46" s="25" t="n">
        <f aca="false">C46*$C$6+D46*$C$7+E46*$C$8+F46*$C$9</f>
        <v>64</v>
      </c>
    </row>
    <row r="47" customFormat="false" ht="15" hidden="false" customHeight="false" outlineLevel="0" collapsed="false">
      <c r="A47" s="24" t="str">
        <f aca="false">'Results grid'!A39</f>
        <v>BASE</v>
      </c>
      <c r="B47" s="24" t="str">
        <f aca="false">'Results grid'!B39</f>
        <v>S2</v>
      </c>
      <c r="C47" s="25" t="n">
        <f aca="false">RANK('Results grid'!D39,'Results grid'!$D$5:$D$44,0)</f>
        <v>15</v>
      </c>
      <c r="D47" s="25" t="n">
        <f aca="false">RANK('Results grid'!E39,'Results grid'!$E$5:$E$44,0)</f>
        <v>14</v>
      </c>
      <c r="E47" s="25" t="n">
        <f aca="false">RANK('Results grid'!H39,'Results grid'!$H$5:$H$44,0)</f>
        <v>11</v>
      </c>
      <c r="F47" s="25" t="n">
        <f aca="false">RANK('Results grid'!I39,'Results grid'!$I$5:$I$44,1)</f>
        <v>24</v>
      </c>
      <c r="G47" s="25" t="n">
        <f aca="false">C47*$C$6+D47*$C$7+E47*$C$8+F47*$C$9</f>
        <v>64</v>
      </c>
    </row>
    <row r="48" customFormat="false" ht="15" hidden="false" customHeight="false" outlineLevel="0" collapsed="false">
      <c r="A48" s="24" t="str">
        <f aca="false">'Results grid'!A40</f>
        <v>BASE</v>
      </c>
      <c r="B48" s="24" t="str">
        <f aca="false">'Results grid'!B40</f>
        <v>S3</v>
      </c>
      <c r="C48" s="25" t="n">
        <f aca="false">RANK('Results grid'!D40,'Results grid'!$D$5:$D$44,0)</f>
        <v>15</v>
      </c>
      <c r="D48" s="25" t="n">
        <f aca="false">RANK('Results grid'!E40,'Results grid'!$E$5:$E$44,0)</f>
        <v>14</v>
      </c>
      <c r="E48" s="25" t="n">
        <f aca="false">RANK('Results grid'!H40,'Results grid'!$H$5:$H$44,0)</f>
        <v>11</v>
      </c>
      <c r="F48" s="25" t="n">
        <f aca="false">RANK('Results grid'!I40,'Results grid'!$I$5:$I$44,1)</f>
        <v>24</v>
      </c>
      <c r="G48" s="25" t="n">
        <f aca="false">C48*$C$6+D48*$C$7+E48*$C$8+F48*$C$9</f>
        <v>64</v>
      </c>
    </row>
    <row r="49" customFormat="false" ht="15" hidden="false" customHeight="false" outlineLevel="0" collapsed="false">
      <c r="A49" s="24" t="str">
        <f aca="false">'Results grid'!A41</f>
        <v>BASE</v>
      </c>
      <c r="B49" s="24" t="str">
        <f aca="false">'Results grid'!B41</f>
        <v>S4</v>
      </c>
      <c r="C49" s="25" t="n">
        <f aca="false">RANK('Results grid'!D41,'Results grid'!$D$5:$D$44,0)</f>
        <v>15</v>
      </c>
      <c r="D49" s="25" t="n">
        <f aca="false">RANK('Results grid'!E41,'Results grid'!$E$5:$E$44,0)</f>
        <v>14</v>
      </c>
      <c r="E49" s="25" t="n">
        <f aca="false">RANK('Results grid'!H41,'Results grid'!$H$5:$H$44,0)</f>
        <v>11</v>
      </c>
      <c r="F49" s="25" t="n">
        <f aca="false">RANK('Results grid'!I41,'Results grid'!$I$5:$I$44,1)</f>
        <v>24</v>
      </c>
      <c r="G49" s="25" t="n">
        <f aca="false">C49*$C$6+D49*$C$7+E49*$C$8+F49*$C$9</f>
        <v>64</v>
      </c>
    </row>
    <row r="50" customFormat="false" ht="15" hidden="false" customHeight="false" outlineLevel="0" collapsed="false">
      <c r="A50" s="24" t="str">
        <f aca="false">'Results grid'!A42</f>
        <v>BASE</v>
      </c>
      <c r="B50" s="24" t="str">
        <f aca="false">'Results grid'!B42</f>
        <v>S5</v>
      </c>
      <c r="C50" s="25" t="n">
        <f aca="false">RANK('Results grid'!D42,'Results grid'!$D$5:$D$44,0)</f>
        <v>15</v>
      </c>
      <c r="D50" s="25" t="n">
        <f aca="false">RANK('Results grid'!E42,'Results grid'!$E$5:$E$44,0)</f>
        <v>14</v>
      </c>
      <c r="E50" s="25" t="n">
        <f aca="false">RANK('Results grid'!H42,'Results grid'!$H$5:$H$44,0)</f>
        <v>11</v>
      </c>
      <c r="F50" s="25" t="n">
        <f aca="false">RANK('Results grid'!I42,'Results grid'!$I$5:$I$44,1)</f>
        <v>24</v>
      </c>
      <c r="G50" s="25" t="n">
        <f aca="false">C50*$C$6+D50*$C$7+E50*$C$8+F50*$C$9</f>
        <v>64</v>
      </c>
    </row>
    <row r="51" customFormat="false" ht="15" hidden="false" customHeight="false" outlineLevel="0" collapsed="false">
      <c r="A51" s="24" t="str">
        <f aca="false">'Results grid'!A43</f>
        <v>BASE</v>
      </c>
      <c r="B51" s="24" t="str">
        <f aca="false">'Results grid'!B43</f>
        <v>S7</v>
      </c>
      <c r="C51" s="25" t="n">
        <f aca="false">RANK('Results grid'!D43,'Results grid'!$D$5:$D$44,0)</f>
        <v>26</v>
      </c>
      <c r="D51" s="25" t="n">
        <f aca="false">RANK('Results grid'!E43,'Results grid'!$E$5:$E$44,0)</f>
        <v>25</v>
      </c>
      <c r="E51" s="25" t="n">
        <f aca="false">RANK('Results grid'!H43,'Results grid'!$H$5:$H$44,0)</f>
        <v>19</v>
      </c>
      <c r="F51" s="25" t="n">
        <f aca="false">RANK('Results grid'!I43,'Results grid'!$I$5:$I$44,1)</f>
        <v>1</v>
      </c>
      <c r="G51" s="25" t="n">
        <f aca="false">C51*$C$6+D51*$C$7+E51*$C$8+F51*$C$9</f>
        <v>71</v>
      </c>
    </row>
    <row r="52" customFormat="false" ht="15" hidden="false" customHeight="false" outlineLevel="0" collapsed="false">
      <c r="A52" s="24" t="str">
        <f aca="false">'Results grid'!A44</f>
        <v>BASE</v>
      </c>
      <c r="B52" s="24" t="str">
        <f aca="false">'Results grid'!B44</f>
        <v>S6</v>
      </c>
      <c r="C52" s="25" t="n">
        <f aca="false">RANK('Results grid'!D44,'Results grid'!$D$5:$D$44,0)</f>
        <v>20</v>
      </c>
      <c r="D52" s="25" t="n">
        <f aca="false">RANK('Results grid'!E44,'Results grid'!$E$5:$E$44,0)</f>
        <v>19</v>
      </c>
      <c r="E52" s="25" t="n">
        <f aca="false">RANK('Results grid'!H44,'Results grid'!$H$5:$H$44,0)</f>
        <v>18</v>
      </c>
      <c r="F52" s="25" t="n">
        <f aca="false">RANK('Results grid'!I44,'Results grid'!$I$5:$I$44,1)</f>
        <v>21</v>
      </c>
      <c r="G52" s="25" t="n">
        <f aca="false">C52*$C$6+D52*$C$7+E52*$C$8+F52*$C$9</f>
        <v>78</v>
      </c>
    </row>
    <row r="54" customFormat="false" ht="15" hidden="false" customHeight="false" outlineLevel="0" collapsed="false">
      <c r="A54" s="5" t="s">
        <v>199</v>
      </c>
    </row>
    <row r="55" customFormat="false" ht="31.5" hidden="false" customHeight="true" outlineLevel="0" collapsed="false">
      <c r="A55" s="6" t="s">
        <v>129</v>
      </c>
      <c r="B55" s="6" t="s">
        <v>110</v>
      </c>
      <c r="C55" s="6" t="s">
        <v>200</v>
      </c>
      <c r="D55" s="6" t="s">
        <v>201</v>
      </c>
    </row>
    <row r="56" customFormat="false" ht="15" hidden="false" customHeight="false" outlineLevel="0" collapsed="false">
      <c r="A56" s="10" t="s">
        <v>135</v>
      </c>
      <c r="B56" s="14" t="s">
        <v>136</v>
      </c>
      <c r="C56" s="25" t="n">
        <f aca="false">SUMIF($B$13:$B$52,A56,$G$13:$G$52)</f>
        <v>545</v>
      </c>
      <c r="D56" s="25" t="n">
        <f aca="false">RANK(C56,$C$56:$C$63,1)</f>
        <v>8</v>
      </c>
    </row>
    <row r="57" customFormat="false" ht="15" hidden="false" customHeight="false" outlineLevel="0" collapsed="false">
      <c r="A57" s="10" t="s">
        <v>140</v>
      </c>
      <c r="B57" s="14" t="s">
        <v>141</v>
      </c>
      <c r="C57" s="25" t="n">
        <f aca="false">SUMIF($B$13:$B$52,A57,$G$13:$G$52)</f>
        <v>274</v>
      </c>
      <c r="D57" s="25" t="n">
        <f aca="false">RANK(C57,$C$56:$C$63,1)</f>
        <v>1</v>
      </c>
    </row>
    <row r="58" customFormat="false" ht="15" hidden="false" customHeight="false" outlineLevel="0" collapsed="false">
      <c r="A58" s="10" t="s">
        <v>145</v>
      </c>
      <c r="B58" s="14" t="s">
        <v>146</v>
      </c>
      <c r="C58" s="25" t="n">
        <f aca="false">SUMIF($B$13:$B$52,A58,$G$13:$G$52)</f>
        <v>274</v>
      </c>
      <c r="D58" s="25" t="n">
        <f aca="false">RANK(C58,$C$56:$C$63,1)</f>
        <v>1</v>
      </c>
    </row>
    <row r="59" customFormat="false" ht="15" hidden="false" customHeight="false" outlineLevel="0" collapsed="false">
      <c r="A59" s="10" t="s">
        <v>150</v>
      </c>
      <c r="B59" s="14" t="s">
        <v>151</v>
      </c>
      <c r="C59" s="25" t="n">
        <f aca="false">SUMIF($B$13:$B$52,A59,$G$13:$G$52)</f>
        <v>339</v>
      </c>
      <c r="D59" s="25" t="n">
        <f aca="false">RANK(C59,$C$56:$C$63,1)</f>
        <v>5</v>
      </c>
    </row>
    <row r="60" customFormat="false" ht="15" hidden="false" customHeight="false" outlineLevel="0" collapsed="false">
      <c r="A60" s="10" t="s">
        <v>155</v>
      </c>
      <c r="B60" s="14" t="s">
        <v>156</v>
      </c>
      <c r="C60" s="25" t="n">
        <f aca="false">SUMIF($B$13:$B$52,A60,$G$13:$G$52)</f>
        <v>361</v>
      </c>
      <c r="D60" s="25" t="n">
        <f aca="false">RANK(C60,$C$56:$C$63,1)</f>
        <v>6</v>
      </c>
    </row>
    <row r="61" customFormat="false" ht="15" hidden="false" customHeight="false" outlineLevel="0" collapsed="false">
      <c r="A61" s="10" t="s">
        <v>160</v>
      </c>
      <c r="B61" s="14" t="s">
        <v>161</v>
      </c>
      <c r="C61" s="25" t="n">
        <f aca="false">SUMIF($B$13:$B$52,A61,$G$13:$G$52)</f>
        <v>274</v>
      </c>
      <c r="D61" s="25" t="n">
        <f aca="false">RANK(C61,$C$56:$C$63,1)</f>
        <v>1</v>
      </c>
    </row>
    <row r="62" customFormat="false" ht="15" hidden="false" customHeight="false" outlineLevel="0" collapsed="false">
      <c r="A62" s="10" t="s">
        <v>165</v>
      </c>
      <c r="B62" s="14" t="s">
        <v>166</v>
      </c>
      <c r="C62" s="25" t="n">
        <f aca="false">SUMIF($B$13:$B$52,A62,$G$13:$G$52)</f>
        <v>295</v>
      </c>
      <c r="D62" s="25" t="n">
        <f aca="false">RANK(C62,$C$56:$C$63,1)</f>
        <v>4</v>
      </c>
    </row>
    <row r="63" customFormat="false" ht="15" hidden="false" customHeight="false" outlineLevel="0" collapsed="false">
      <c r="A63" s="10" t="s">
        <v>170</v>
      </c>
      <c r="B63" s="14" t="s">
        <v>171</v>
      </c>
      <c r="C63" s="25" t="n">
        <f aca="false">SUMIF($B$13:$B$52,A63,$G$13:$G$52)</f>
        <v>374</v>
      </c>
      <c r="D63" s="25" t="n">
        <f aca="false">RANK(C63,$C$56:$C$63,1)</f>
        <v>7</v>
      </c>
    </row>
    <row r="66" customFormat="false" ht="15" hidden="false" customHeight="false" outlineLevel="0" collapsed="false">
      <c r="A66" s="5" t="s">
        <v>202</v>
      </c>
    </row>
    <row r="67" customFormat="false" ht="31.5" hidden="false" customHeight="true" outlineLevel="0" collapsed="false">
      <c r="A67" s="6" t="s">
        <v>203</v>
      </c>
      <c r="B67" s="6" t="s">
        <v>204</v>
      </c>
    </row>
    <row r="68" customFormat="false" ht="15" hidden="false" customHeight="false" outlineLevel="0" collapsed="false">
      <c r="A68" s="10" t="s">
        <v>205</v>
      </c>
      <c r="B68" s="26" t="s">
        <v>206</v>
      </c>
    </row>
    <row r="69" customFormat="false" ht="15" hidden="false" customHeight="false" outlineLevel="0" collapsed="false">
      <c r="A69" s="14" t="s">
        <v>207</v>
      </c>
      <c r="B69" s="26" t="s">
        <v>206</v>
      </c>
    </row>
    <row r="70" customFormat="false" ht="15" hidden="false" customHeight="false" outlineLevel="0" collapsed="false">
      <c r="A70" s="14" t="s">
        <v>208</v>
      </c>
      <c r="B70" s="26" t="s">
        <v>209</v>
      </c>
    </row>
    <row r="71" customFormat="false" ht="15" hidden="false" customHeight="false" outlineLevel="0" collapsed="false">
      <c r="A71" s="14" t="s">
        <v>210</v>
      </c>
      <c r="B71" s="26" t="s">
        <v>206</v>
      </c>
    </row>
    <row r="72" customFormat="false" ht="15" hidden="false" customHeight="false" outlineLevel="0" collapsed="false">
      <c r="A72" s="14" t="s">
        <v>211</v>
      </c>
      <c r="B72" s="26" t="s">
        <v>206</v>
      </c>
    </row>
    <row r="73" customFormat="false" ht="15" hidden="false" customHeight="false" outlineLevel="0" collapsed="false">
      <c r="A73" s="14" t="s">
        <v>212</v>
      </c>
      <c r="B73" s="26" t="s">
        <v>206</v>
      </c>
    </row>
    <row r="74" customFormat="false" ht="15" hidden="false" customHeight="false" outlineLevel="0" collapsed="false">
      <c r="A74" s="14" t="s">
        <v>213</v>
      </c>
      <c r="B74" s="26" t="s">
        <v>209</v>
      </c>
    </row>
    <row r="75" customFormat="false" ht="15" hidden="false" customHeight="false" outlineLevel="0" collapsed="false">
      <c r="A75" s="14" t="s">
        <v>214</v>
      </c>
      <c r="B75" s="26" t="s">
        <v>215</v>
      </c>
    </row>
    <row r="76" customFormat="false" ht="15" hidden="false" customHeight="false" outlineLevel="0" collapsed="false">
      <c r="A76" s="14" t="s">
        <v>216</v>
      </c>
      <c r="B76" s="26" t="s">
        <v>217</v>
      </c>
    </row>
    <row r="78" customFormat="false" ht="33.75" hidden="false" customHeight="true" outlineLevel="0" collapsed="false">
      <c r="A78" s="4" t="s">
        <v>218</v>
      </c>
      <c r="B78" s="4"/>
    </row>
  </sheetData>
  <mergeCells count="3">
    <mergeCell ref="A1:I1"/>
    <mergeCell ref="A2:I2"/>
    <mergeCell ref="A78:B7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7" min="3" style="0" width="14"/>
    <col collapsed="false" customWidth="true" hidden="false" outlineLevel="0" max="8" min="8" style="0" width="18"/>
  </cols>
  <sheetData>
    <row r="1" customFormat="false" ht="25.5" hidden="false" customHeight="true" outlineLevel="0" collapsed="false">
      <c r="A1" s="1" t="s">
        <v>219</v>
      </c>
      <c r="B1" s="1"/>
      <c r="C1" s="1"/>
      <c r="D1" s="1"/>
      <c r="E1" s="1"/>
      <c r="F1" s="1"/>
      <c r="G1" s="1"/>
      <c r="H1" s="1"/>
    </row>
    <row r="2" customFormat="false" ht="27.75" hidden="false" customHeight="true" outlineLevel="0" collapsed="false">
      <c r="A2" s="2" t="s">
        <v>220</v>
      </c>
      <c r="B2" s="2"/>
      <c r="C2" s="2"/>
      <c r="D2" s="2"/>
      <c r="E2" s="2"/>
      <c r="F2" s="2"/>
      <c r="G2" s="2"/>
      <c r="H2" s="2"/>
    </row>
    <row r="4" customFormat="false" ht="31.5" hidden="false" customHeight="true" outlineLevel="0" collapsed="false">
      <c r="A4" s="6" t="s">
        <v>129</v>
      </c>
      <c r="B4" s="6" t="s">
        <v>110</v>
      </c>
      <c r="C4" s="6" t="s">
        <v>221</v>
      </c>
      <c r="D4" s="6" t="s">
        <v>222</v>
      </c>
      <c r="E4" s="6" t="s">
        <v>223</v>
      </c>
      <c r="F4" s="6" t="s">
        <v>224</v>
      </c>
      <c r="G4" s="6" t="s">
        <v>225</v>
      </c>
      <c r="H4" s="6" t="s">
        <v>226</v>
      </c>
    </row>
    <row r="5" customFormat="false" ht="15" hidden="false" customHeight="false" outlineLevel="0" collapsed="false">
      <c r="A5" s="10" t="s">
        <v>135</v>
      </c>
      <c r="B5" s="4" t="s">
        <v>136</v>
      </c>
      <c r="C5" s="8" t="n">
        <v>42454</v>
      </c>
      <c r="D5" s="8" t="n">
        <v>15873</v>
      </c>
      <c r="E5" s="8" t="n">
        <v>169817</v>
      </c>
      <c r="F5" s="8" t="n">
        <v>63493</v>
      </c>
      <c r="G5" s="8" t="n">
        <v>60649</v>
      </c>
      <c r="H5" s="12" t="n">
        <f aca="false">MAX(C5:G5)</f>
        <v>169817</v>
      </c>
    </row>
    <row r="6" customFormat="false" ht="15" hidden="false" customHeight="false" outlineLevel="0" collapsed="false">
      <c r="A6" s="10" t="s">
        <v>140</v>
      </c>
      <c r="B6" s="4" t="s">
        <v>141</v>
      </c>
      <c r="C6" s="8" t="n">
        <v>0</v>
      </c>
      <c r="D6" s="8" t="n">
        <v>0</v>
      </c>
      <c r="E6" s="8" t="n">
        <v>0</v>
      </c>
      <c r="F6" s="8" t="n">
        <v>0</v>
      </c>
      <c r="G6" s="8" t="n">
        <v>0</v>
      </c>
      <c r="H6" s="12" t="n">
        <f aca="false">MAX(C6:G6)</f>
        <v>0</v>
      </c>
    </row>
    <row r="7" customFormat="false" ht="15" hidden="false" customHeight="false" outlineLevel="0" collapsed="false">
      <c r="A7" s="10" t="s">
        <v>145</v>
      </c>
      <c r="B7" s="4" t="s">
        <v>146</v>
      </c>
      <c r="C7" s="8" t="n">
        <v>0</v>
      </c>
      <c r="D7" s="8" t="n">
        <v>0</v>
      </c>
      <c r="E7" s="8" t="n">
        <v>0</v>
      </c>
      <c r="F7" s="8" t="n">
        <v>0</v>
      </c>
      <c r="G7" s="8" t="n">
        <v>0</v>
      </c>
      <c r="H7" s="12" t="n">
        <f aca="false">MAX(C7:G7)</f>
        <v>0</v>
      </c>
    </row>
    <row r="8" customFormat="false" ht="15" hidden="false" customHeight="false" outlineLevel="0" collapsed="false">
      <c r="A8" s="10" t="s">
        <v>150</v>
      </c>
      <c r="B8" s="4" t="s">
        <v>151</v>
      </c>
      <c r="C8" s="8" t="n">
        <v>0</v>
      </c>
      <c r="D8" s="8" t="n">
        <v>0</v>
      </c>
      <c r="E8" s="8" t="n">
        <v>0</v>
      </c>
      <c r="F8" s="8" t="n">
        <v>0</v>
      </c>
      <c r="G8" s="8" t="n">
        <v>0</v>
      </c>
      <c r="H8" s="12" t="n">
        <f aca="false">MAX(C8:G8)</f>
        <v>0</v>
      </c>
    </row>
    <row r="9" customFormat="false" ht="15" hidden="false" customHeight="false" outlineLevel="0" collapsed="false">
      <c r="A9" s="10" t="s">
        <v>155</v>
      </c>
      <c r="B9" s="4" t="s">
        <v>156</v>
      </c>
      <c r="C9" s="8" t="n">
        <v>0</v>
      </c>
      <c r="D9" s="8" t="n">
        <v>355</v>
      </c>
      <c r="E9" s="8" t="n">
        <v>0</v>
      </c>
      <c r="F9" s="8" t="n">
        <v>1422</v>
      </c>
      <c r="G9" s="8" t="n">
        <v>0</v>
      </c>
      <c r="H9" s="12" t="n">
        <f aca="false">MAX(C9:G9)</f>
        <v>1422</v>
      </c>
    </row>
    <row r="10" customFormat="false" ht="15" hidden="false" customHeight="false" outlineLevel="0" collapsed="false">
      <c r="A10" s="10" t="s">
        <v>160</v>
      </c>
      <c r="B10" s="4" t="s">
        <v>161</v>
      </c>
      <c r="C10" s="8" t="n">
        <v>0</v>
      </c>
      <c r="D10" s="8" t="n">
        <v>0</v>
      </c>
      <c r="E10" s="8" t="n">
        <v>0</v>
      </c>
      <c r="F10" s="8" t="n">
        <v>0</v>
      </c>
      <c r="G10" s="8" t="n">
        <v>0</v>
      </c>
      <c r="H10" s="12" t="n">
        <f aca="false">MAX(C10:G10)</f>
        <v>0</v>
      </c>
    </row>
    <row r="11" customFormat="false" ht="15" hidden="false" customHeight="false" outlineLevel="0" collapsed="false">
      <c r="A11" s="10" t="s">
        <v>165</v>
      </c>
      <c r="B11" s="4" t="s">
        <v>166</v>
      </c>
      <c r="C11" s="8" t="n">
        <v>26581</v>
      </c>
      <c r="D11" s="8" t="n">
        <v>0</v>
      </c>
      <c r="E11" s="8" t="n">
        <v>106324</v>
      </c>
      <c r="F11" s="8" t="n">
        <v>0</v>
      </c>
      <c r="G11" s="8" t="n">
        <v>28902</v>
      </c>
      <c r="H11" s="12" t="n">
        <f aca="false">MAX(C11:G11)</f>
        <v>106324</v>
      </c>
    </row>
    <row r="12" customFormat="false" ht="15" hidden="false" customHeight="false" outlineLevel="0" collapsed="false">
      <c r="A12" s="10" t="s">
        <v>170</v>
      </c>
      <c r="B12" s="4" t="s">
        <v>171</v>
      </c>
      <c r="C12" s="8" t="n">
        <v>13290</v>
      </c>
      <c r="D12" s="8" t="n">
        <v>0</v>
      </c>
      <c r="E12" s="8" t="n">
        <v>53162</v>
      </c>
      <c r="F12" s="8" t="n">
        <v>0</v>
      </c>
      <c r="G12" s="8" t="n">
        <v>14451</v>
      </c>
      <c r="H12" s="12" t="n">
        <f aca="false">MAX(C12:G12)</f>
        <v>53162</v>
      </c>
    </row>
    <row r="14" customFormat="false" ht="45.75" hidden="false" customHeight="true" outlineLevel="0" collapsed="false">
      <c r="A14" s="4" t="s">
        <v>227</v>
      </c>
      <c r="B14" s="4"/>
      <c r="C14" s="4"/>
      <c r="D14" s="4"/>
      <c r="E14" s="4"/>
      <c r="F14" s="4"/>
      <c r="G14" s="4"/>
      <c r="H14" s="4"/>
    </row>
  </sheetData>
  <mergeCells count="3">
    <mergeCell ref="A1:H1"/>
    <mergeCell ref="A2:H2"/>
    <mergeCell ref="A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38"/>
    <col collapsed="false" customWidth="true" hidden="false" outlineLevel="0" max="4" min="4" style="0" width="42"/>
    <col collapsed="false" customWidth="true" hidden="false" outlineLevel="0" max="6" min="5" style="0" width="34"/>
    <col collapsed="false" customWidth="true" hidden="false" outlineLevel="0" max="7" min="7" style="0" width="60"/>
  </cols>
  <sheetData>
    <row r="1" customFormat="false" ht="25.5" hidden="false" customHeight="true" outlineLevel="0" collapsed="false">
      <c r="A1" s="1" t="s">
        <v>228</v>
      </c>
      <c r="B1" s="1"/>
      <c r="C1" s="1"/>
      <c r="D1" s="1"/>
      <c r="E1" s="1"/>
      <c r="F1" s="1"/>
      <c r="G1" s="1"/>
    </row>
    <row r="2" customFormat="false" ht="27.75" hidden="false" customHeight="true" outlineLevel="0" collapsed="false">
      <c r="A2" s="2" t="s">
        <v>229</v>
      </c>
      <c r="B2" s="2"/>
      <c r="C2" s="2"/>
      <c r="D2" s="2"/>
      <c r="E2" s="2"/>
      <c r="F2" s="2"/>
      <c r="G2" s="2"/>
    </row>
    <row r="4" customFormat="false" ht="31.5" hidden="false" customHeight="true" outlineLevel="0" collapsed="false">
      <c r="A4" s="6" t="s">
        <v>230</v>
      </c>
      <c r="B4" s="6" t="s">
        <v>231</v>
      </c>
      <c r="C4" s="6" t="s">
        <v>232</v>
      </c>
      <c r="D4" s="6" t="s">
        <v>233</v>
      </c>
      <c r="E4" s="6" t="s">
        <v>234</v>
      </c>
      <c r="F4" s="6" t="s">
        <v>235</v>
      </c>
      <c r="G4" s="6" t="s">
        <v>236</v>
      </c>
    </row>
    <row r="5" customFormat="false" ht="75.75" hidden="false" customHeight="true" outlineLevel="0" collapsed="false">
      <c r="A5" s="10" t="s">
        <v>237</v>
      </c>
      <c r="B5" s="4" t="s">
        <v>238</v>
      </c>
      <c r="C5" s="4" t="s">
        <v>239</v>
      </c>
      <c r="D5" s="4" t="s">
        <v>240</v>
      </c>
      <c r="E5" s="27" t="s">
        <v>241</v>
      </c>
      <c r="F5" s="4" t="s">
        <v>242</v>
      </c>
      <c r="G5" s="4" t="s">
        <v>243</v>
      </c>
    </row>
    <row r="6" customFormat="false" ht="75.75" hidden="false" customHeight="true" outlineLevel="0" collapsed="false">
      <c r="A6" s="10" t="s">
        <v>244</v>
      </c>
      <c r="B6" s="4" t="s">
        <v>245</v>
      </c>
      <c r="C6" s="4" t="s">
        <v>246</v>
      </c>
      <c r="D6" s="4" t="s">
        <v>247</v>
      </c>
      <c r="E6" s="27" t="s">
        <v>248</v>
      </c>
      <c r="F6" s="4" t="s">
        <v>249</v>
      </c>
      <c r="G6" s="4" t="s">
        <v>250</v>
      </c>
    </row>
    <row r="7" customFormat="false" ht="75.75" hidden="false" customHeight="true" outlineLevel="0" collapsed="false">
      <c r="A7" s="10" t="s">
        <v>251</v>
      </c>
      <c r="B7" s="4" t="s">
        <v>252</v>
      </c>
      <c r="C7" s="4" t="s">
        <v>253</v>
      </c>
      <c r="D7" s="4" t="s">
        <v>254</v>
      </c>
      <c r="E7" s="27" t="s">
        <v>255</v>
      </c>
      <c r="F7" s="4" t="s">
        <v>256</v>
      </c>
      <c r="G7" s="4" t="s">
        <v>257</v>
      </c>
    </row>
    <row r="8" customFormat="false" ht="75.75" hidden="false" customHeight="true" outlineLevel="0" collapsed="false">
      <c r="A8" s="10" t="s">
        <v>258</v>
      </c>
      <c r="B8" s="4" t="s">
        <v>47</v>
      </c>
      <c r="C8" s="4" t="s">
        <v>259</v>
      </c>
      <c r="D8" s="4" t="s">
        <v>260</v>
      </c>
      <c r="E8" s="27" t="s">
        <v>261</v>
      </c>
      <c r="F8" s="4" t="s">
        <v>262</v>
      </c>
      <c r="G8" s="4" t="s">
        <v>263</v>
      </c>
    </row>
    <row r="9" customFormat="false" ht="75.75" hidden="false" customHeight="true" outlineLevel="0" collapsed="false">
      <c r="A9" s="28" t="s">
        <v>264</v>
      </c>
      <c r="B9" s="29" t="s">
        <v>53</v>
      </c>
      <c r="C9" s="29" t="s">
        <v>265</v>
      </c>
      <c r="D9" s="29" t="s">
        <v>266</v>
      </c>
      <c r="E9" s="30" t="s">
        <v>267</v>
      </c>
      <c r="F9" s="29" t="s">
        <v>268</v>
      </c>
      <c r="G9" s="29" t="s">
        <v>269</v>
      </c>
    </row>
    <row r="10" customFormat="false" ht="75.75" hidden="false" customHeight="true" outlineLevel="0" collapsed="false">
      <c r="A10" s="28" t="s">
        <v>270</v>
      </c>
      <c r="B10" s="29" t="s">
        <v>271</v>
      </c>
      <c r="C10" s="29" t="s">
        <v>272</v>
      </c>
      <c r="D10" s="29" t="s">
        <v>273</v>
      </c>
      <c r="E10" s="30" t="s">
        <v>274</v>
      </c>
      <c r="F10" s="29" t="s">
        <v>275</v>
      </c>
      <c r="G10" s="29" t="s">
        <v>276</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20"/>
    <col collapsed="false" customWidth="true" hidden="false" outlineLevel="0" max="3" min="3" style="0" width="76"/>
  </cols>
  <sheetData>
    <row r="1" customFormat="false" ht="25.5" hidden="false" customHeight="true" outlineLevel="0" collapsed="false">
      <c r="A1" s="1" t="s">
        <v>277</v>
      </c>
      <c r="B1" s="1"/>
      <c r="C1" s="1"/>
      <c r="D1" s="1"/>
    </row>
    <row r="2" customFormat="false" ht="27.75" hidden="false" customHeight="true" outlineLevel="0" collapsed="false">
      <c r="A2" s="2" t="s">
        <v>278</v>
      </c>
      <c r="B2" s="2"/>
      <c r="C2" s="2"/>
      <c r="D2" s="2"/>
    </row>
    <row r="4" customFormat="false" ht="31.5" hidden="false" customHeight="true" outlineLevel="0" collapsed="false">
      <c r="A4" s="7" t="s">
        <v>279</v>
      </c>
      <c r="B4" s="9" t="n">
        <v>1.75</v>
      </c>
      <c r="C4" s="4" t="s">
        <v>280</v>
      </c>
    </row>
    <row r="5" customFormat="false" ht="31.5" hidden="false" customHeight="true" outlineLevel="0" collapsed="false">
      <c r="A5" s="7" t="s">
        <v>281</v>
      </c>
      <c r="B5" s="9" t="n">
        <v>3.343</v>
      </c>
      <c r="C5" s="4" t="s">
        <v>282</v>
      </c>
    </row>
    <row r="6" customFormat="false" ht="31.5" hidden="false" customHeight="true" outlineLevel="0" collapsed="false">
      <c r="A6" s="7" t="s">
        <v>283</v>
      </c>
      <c r="B6" s="9" t="n">
        <v>0.839</v>
      </c>
      <c r="C6" s="4" t="s">
        <v>284</v>
      </c>
    </row>
    <row r="7" customFormat="false" ht="31.5" hidden="false" customHeight="true" outlineLevel="0" collapsed="false">
      <c r="A7" s="7" t="s">
        <v>285</v>
      </c>
      <c r="B7" s="9" t="n">
        <v>0.764</v>
      </c>
      <c r="C7" s="4" t="s">
        <v>286</v>
      </c>
    </row>
    <row r="8" customFormat="false" ht="31.5" hidden="false" customHeight="true" outlineLevel="0" collapsed="false">
      <c r="A8" s="7" t="s">
        <v>287</v>
      </c>
      <c r="B8" s="9" t="n">
        <v>0.604</v>
      </c>
      <c r="C8" s="4" t="s">
        <v>288</v>
      </c>
    </row>
    <row r="9" customFormat="false" ht="31.5" hidden="false" customHeight="true" outlineLevel="0" collapsed="false">
      <c r="A9" s="7" t="s">
        <v>289</v>
      </c>
      <c r="B9" s="9" t="n">
        <v>0.913</v>
      </c>
      <c r="C9" s="4" t="s">
        <v>290</v>
      </c>
    </row>
    <row r="11" customFormat="false" ht="15" hidden="false" customHeight="false" outlineLevel="0" collapsed="false">
      <c r="A11" s="5" t="s">
        <v>291</v>
      </c>
    </row>
    <row r="12" customFormat="false" ht="30" hidden="false" customHeight="true" outlineLevel="0" collapsed="false">
      <c r="A12" s="14" t="s">
        <v>292</v>
      </c>
      <c r="B12" s="11" t="s">
        <v>293</v>
      </c>
      <c r="C12" s="11"/>
    </row>
    <row r="13" customFormat="false" ht="30" hidden="false" customHeight="true" outlineLevel="0" collapsed="false">
      <c r="A13" s="14" t="s">
        <v>292</v>
      </c>
      <c r="B13" s="11" t="s">
        <v>294</v>
      </c>
      <c r="C13" s="11"/>
    </row>
    <row r="14" customFormat="false" ht="30" hidden="false" customHeight="true" outlineLevel="0" collapsed="false">
      <c r="A14" s="14" t="s">
        <v>292</v>
      </c>
      <c r="B14" s="11" t="s">
        <v>295</v>
      </c>
      <c r="C14" s="11"/>
    </row>
    <row r="15" customFormat="false" ht="30" hidden="false" customHeight="true" outlineLevel="0" collapsed="false">
      <c r="A15" s="14" t="s">
        <v>292</v>
      </c>
      <c r="B15" s="11" t="s">
        <v>296</v>
      </c>
      <c r="C15" s="11"/>
    </row>
    <row r="17" customFormat="false" ht="15" hidden="false" customHeight="false" outlineLevel="0" collapsed="false">
      <c r="A17" s="5" t="s">
        <v>297</v>
      </c>
    </row>
    <row r="18" customFormat="false" ht="63.75" hidden="false" customHeight="true" outlineLevel="0" collapsed="false">
      <c r="A18" s="11" t="s">
        <v>298</v>
      </c>
      <c r="B18" s="11"/>
      <c r="C18" s="11"/>
    </row>
  </sheetData>
  <mergeCells count="7">
    <mergeCell ref="A1:D1"/>
    <mergeCell ref="A2:D2"/>
    <mergeCell ref="B12:C12"/>
    <mergeCell ref="B13:C13"/>
    <mergeCell ref="B14:C14"/>
    <mergeCell ref="B15:C15"/>
    <mergeCell ref="A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08"/>
  </cols>
  <sheetData>
    <row r="1" customFormat="false" ht="25.5" hidden="false" customHeight="true" outlineLevel="0" collapsed="false">
      <c r="A1" s="1" t="s">
        <v>299</v>
      </c>
      <c r="B1" s="1"/>
      <c r="C1" s="1"/>
    </row>
    <row r="2" customFormat="false" ht="27.75" hidden="false" customHeight="true" outlineLevel="0" collapsed="false">
      <c r="A2" s="2" t="s">
        <v>300</v>
      </c>
      <c r="B2" s="2"/>
      <c r="C2" s="2"/>
    </row>
    <row r="4" customFormat="false" ht="45.75" hidden="false" customHeight="true" outlineLevel="0" collapsed="false">
      <c r="B4" s="3" t="s">
        <v>299</v>
      </c>
      <c r="C4" s="4" t="s">
        <v>301</v>
      </c>
    </row>
    <row r="5" customFormat="false" ht="78" hidden="false" customHeight="true" outlineLevel="0" collapsed="false">
      <c r="B5" s="3" t="s">
        <v>302</v>
      </c>
      <c r="C5" s="4" t="s">
        <v>303</v>
      </c>
    </row>
    <row r="6" customFormat="false" ht="78" hidden="false" customHeight="true" outlineLevel="0" collapsed="false">
      <c r="B6" s="3" t="s">
        <v>304</v>
      </c>
      <c r="C6" s="4" t="s">
        <v>305</v>
      </c>
    </row>
    <row r="7" customFormat="false" ht="51.75" hidden="false" customHeight="true" outlineLevel="0" collapsed="false">
      <c r="B7" s="3" t="s">
        <v>306</v>
      </c>
      <c r="C7" s="4" t="s">
        <v>307</v>
      </c>
    </row>
    <row r="8" customFormat="false" ht="78" hidden="false" customHeight="true" outlineLevel="0" collapsed="false">
      <c r="B8" s="3" t="s">
        <v>308</v>
      </c>
      <c r="C8" s="4" t="s">
        <v>309</v>
      </c>
    </row>
    <row r="9" customFormat="false" ht="51.75" hidden="false" customHeight="true" outlineLevel="0" collapsed="false">
      <c r="B9" s="3" t="s">
        <v>310</v>
      </c>
      <c r="C9" s="4" t="s">
        <v>311</v>
      </c>
    </row>
    <row r="10" customFormat="false" ht="103.5" hidden="false" customHeight="true" outlineLevel="0" collapsed="false">
      <c r="B10" s="3" t="s">
        <v>312</v>
      </c>
      <c r="C10" s="4" t="s">
        <v>313</v>
      </c>
    </row>
    <row r="11" customFormat="false" ht="78" hidden="false" customHeight="true" outlineLevel="0" collapsed="false">
      <c r="B11" s="3" t="s">
        <v>314</v>
      </c>
      <c r="C11" s="4" t="s">
        <v>315</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2026-08-11T23:24:34Z</dcterms:created>
  <dc:creator>openpyxl</dc:creator>
  <dc:description/>
  <dc:language>en-US</dc:language>
  <cp:lastModifiedBy/>
  <dcterms:modified xsi:type="dcterms:W3CDTF">2026-08-11T23:24:34Z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