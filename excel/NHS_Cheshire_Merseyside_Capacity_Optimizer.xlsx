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vedantaudichya/Desktop/NHS_Project/excel/"/>
    </mc:Choice>
  </mc:AlternateContent>
  <xr:revisionPtr revIDLastSave="0" documentId="13_ncr:1_{1EADE524-613D-6847-B9D8-86AF60E2D38A}" xr6:coauthVersionLast="47" xr6:coauthVersionMax="47" xr10:uidLastSave="{00000000-0000-0000-0000-000000000000}"/>
  <bookViews>
    <workbookView xWindow="0" yWindow="660" windowWidth="16380" windowHeight="17520" tabRatio="500" activeTab="3" xr2:uid="{00000000-000D-0000-FFFF-FFFF00000000}"/>
  </bookViews>
  <sheets>
    <sheet name="Read Me" sheetId="1" r:id="rId1"/>
    <sheet name="Assumptions" sheetId="2" r:id="rId2"/>
    <sheet name="Provider Inputs" sheetId="3" r:id="rId3"/>
    <sheet name="Solver Model" sheetId="4" r:id="rId4"/>
    <sheet name="Budget Sensitivity" sheetId="5" r:id="rId5"/>
  </sheets>
  <definedNames>
    <definedName name="solver_adj" localSheetId="3" hidden="1">'Solver Model'!$I$6:$K$17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itr" localSheetId="3" hidden="1">2147483647</definedName>
    <definedName name="solver_lhs1" localSheetId="3" hidden="1">'Solver Model'!$E$28</definedName>
    <definedName name="solver_lhs2" localSheetId="3" hidden="1">'Solver Model'!$I$6:$I$17</definedName>
    <definedName name="solver_lhs3" localSheetId="3" hidden="1">'Solver Model'!$I$6:$K$17</definedName>
    <definedName name="solver_lhs4" localSheetId="3" hidden="1">'Solver Model'!$J$6:$J$17</definedName>
    <definedName name="solver_lhs5" localSheetId="3" hidden="1">'Solver Model'!$K$6:$K$17</definedName>
    <definedName name="solver_lhs6" localSheetId="3" hidden="1">'Solver Model'!$N$19</definedName>
    <definedName name="solver_lin" localSheetId="3" hidden="1">1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6</definedName>
    <definedName name="solver_opt" localSheetId="3" hidden="1">'Solver Model'!$L$19</definedName>
    <definedName name="solver_pre" localSheetId="3" hidden="1">0.000001</definedName>
    <definedName name="solver_rbv" localSheetId="3" hidden="1">1</definedName>
    <definedName name="solver_rel1" localSheetId="3" hidden="1">3</definedName>
    <definedName name="solver_rel2" localSheetId="3" hidden="1">1</definedName>
    <definedName name="solver_rel3" localSheetId="3" hidden="1">3</definedName>
    <definedName name="solver_rel4" localSheetId="3" hidden="1">1</definedName>
    <definedName name="solver_rel5" localSheetId="3" hidden="1">1</definedName>
    <definedName name="solver_rel6" localSheetId="3" hidden="1">1</definedName>
    <definedName name="solver_rhs1" localSheetId="3" hidden="1">0</definedName>
    <definedName name="solver_rhs2" localSheetId="3" hidden="1">'Solver Model'!$E$6:$E$17</definedName>
    <definedName name="solver_rhs3" localSheetId="3" hidden="1">0</definedName>
    <definedName name="solver_rhs4" localSheetId="3" hidden="1">'Solver Model'!$F$6:$F$17</definedName>
    <definedName name="solver_rhs5" localSheetId="3" hidden="1">'Solver Model'!$G$6:$G$17</definedName>
    <definedName name="solver_rhs6" localSheetId="3" hidden="1">'Solver Model'!$E$24</definedName>
    <definedName name="solver_rlx" localSheetId="3" hidden="1">1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4" l="1"/>
  <c r="E17" i="4"/>
  <c r="C17" i="4"/>
  <c r="B17" i="4"/>
  <c r="G16" i="4"/>
  <c r="E16" i="4"/>
  <c r="L16" i="4" s="1"/>
  <c r="C16" i="4"/>
  <c r="B16" i="4"/>
  <c r="F15" i="4"/>
  <c r="E15" i="4"/>
  <c r="C15" i="4"/>
  <c r="B15" i="4"/>
  <c r="H14" i="4"/>
  <c r="G14" i="4"/>
  <c r="F14" i="4"/>
  <c r="E14" i="4"/>
  <c r="C14" i="4"/>
  <c r="B14" i="4"/>
  <c r="L13" i="4"/>
  <c r="E13" i="4"/>
  <c r="C13" i="4"/>
  <c r="B13" i="4"/>
  <c r="L12" i="4"/>
  <c r="M12" i="4" s="1"/>
  <c r="G12" i="4"/>
  <c r="E12" i="4"/>
  <c r="C12" i="4"/>
  <c r="B12" i="4"/>
  <c r="F11" i="4"/>
  <c r="E11" i="4"/>
  <c r="C11" i="4"/>
  <c r="B11" i="4"/>
  <c r="H10" i="4"/>
  <c r="G10" i="4"/>
  <c r="F10" i="4"/>
  <c r="E10" i="4"/>
  <c r="C10" i="4"/>
  <c r="B10" i="4"/>
  <c r="L9" i="4"/>
  <c r="E9" i="4"/>
  <c r="C9" i="4"/>
  <c r="B9" i="4"/>
  <c r="L8" i="4"/>
  <c r="M8" i="4" s="1"/>
  <c r="G8" i="4"/>
  <c r="E8" i="4"/>
  <c r="C8" i="4"/>
  <c r="B8" i="4"/>
  <c r="F7" i="4"/>
  <c r="E7" i="4"/>
  <c r="C7" i="4"/>
  <c r="B7" i="4"/>
  <c r="H6" i="4"/>
  <c r="G6" i="4"/>
  <c r="F6" i="4"/>
  <c r="E6" i="4"/>
  <c r="E19" i="4" s="1"/>
  <c r="C6" i="4"/>
  <c r="B6" i="4"/>
  <c r="G20" i="3"/>
  <c r="E18" i="3"/>
  <c r="F17" i="3" s="1"/>
  <c r="D17" i="4" s="1"/>
  <c r="L17" i="3"/>
  <c r="H17" i="4" s="1"/>
  <c r="K17" i="3"/>
  <c r="G17" i="4" s="1"/>
  <c r="J17" i="3"/>
  <c r="F17" i="4" s="1"/>
  <c r="L16" i="3"/>
  <c r="H16" i="4" s="1"/>
  <c r="K16" i="3"/>
  <c r="J16" i="3"/>
  <c r="F16" i="4" s="1"/>
  <c r="L15" i="3"/>
  <c r="H15" i="4" s="1"/>
  <c r="K15" i="3"/>
  <c r="G15" i="4" s="1"/>
  <c r="J15" i="3"/>
  <c r="L14" i="3"/>
  <c r="K14" i="3"/>
  <c r="J14" i="3"/>
  <c r="L13" i="3"/>
  <c r="H13" i="4" s="1"/>
  <c r="K13" i="3"/>
  <c r="G13" i="4" s="1"/>
  <c r="J13" i="3"/>
  <c r="F13" i="4" s="1"/>
  <c r="L12" i="3"/>
  <c r="H12" i="4" s="1"/>
  <c r="K12" i="3"/>
  <c r="J12" i="3"/>
  <c r="F12" i="4" s="1"/>
  <c r="L11" i="3"/>
  <c r="H11" i="4" s="1"/>
  <c r="K11" i="3"/>
  <c r="G11" i="4" s="1"/>
  <c r="J11" i="3"/>
  <c r="L10" i="3"/>
  <c r="K10" i="3"/>
  <c r="J10" i="3"/>
  <c r="L9" i="3"/>
  <c r="H9" i="4" s="1"/>
  <c r="K9" i="3"/>
  <c r="G9" i="4" s="1"/>
  <c r="J9" i="3"/>
  <c r="F9" i="4" s="1"/>
  <c r="L8" i="3"/>
  <c r="H8" i="4" s="1"/>
  <c r="K8" i="3"/>
  <c r="J8" i="3"/>
  <c r="F8" i="4" s="1"/>
  <c r="L7" i="3"/>
  <c r="H7" i="4" s="1"/>
  <c r="K7" i="3"/>
  <c r="G7" i="4" s="1"/>
  <c r="J7" i="3"/>
  <c r="L6" i="3"/>
  <c r="K6" i="3"/>
  <c r="J6" i="3"/>
  <c r="C24" i="2"/>
  <c r="C26" i="2" s="1"/>
  <c r="C11" i="2"/>
  <c r="C14" i="2" s="1"/>
  <c r="M9" i="4" l="1"/>
  <c r="M13" i="4"/>
  <c r="C16" i="2"/>
  <c r="C15" i="2"/>
  <c r="M16" i="4"/>
  <c r="L17" i="4"/>
  <c r="M17" i="4" s="1"/>
  <c r="F10" i="3"/>
  <c r="D10" i="4" s="1"/>
  <c r="F16" i="3"/>
  <c r="D16" i="4" s="1"/>
  <c r="L6" i="4"/>
  <c r="L10" i="4"/>
  <c r="M10" i="4" s="1"/>
  <c r="L14" i="4"/>
  <c r="M14" i="4" s="1"/>
  <c r="F6" i="3"/>
  <c r="D6" i="4" s="1"/>
  <c r="F8" i="3"/>
  <c r="D8" i="4" s="1"/>
  <c r="F12" i="3"/>
  <c r="D12" i="4" s="1"/>
  <c r="F14" i="3"/>
  <c r="D14" i="4" s="1"/>
  <c r="F7" i="3"/>
  <c r="D7" i="4" s="1"/>
  <c r="F9" i="3"/>
  <c r="D9" i="4" s="1"/>
  <c r="F11" i="3"/>
  <c r="D11" i="4" s="1"/>
  <c r="F13" i="3"/>
  <c r="D13" i="4" s="1"/>
  <c r="F15" i="3"/>
  <c r="D15" i="4" s="1"/>
  <c r="L7" i="4"/>
  <c r="M7" i="4" s="1"/>
  <c r="L11" i="4"/>
  <c r="M11" i="4" s="1"/>
  <c r="L15" i="4"/>
  <c r="M15" i="4" s="1"/>
  <c r="E26" i="4" l="1"/>
  <c r="L19" i="4"/>
  <c r="M6" i="4"/>
  <c r="M19" i="4" s="1"/>
  <c r="N15" i="4"/>
  <c r="N14" i="4"/>
  <c r="N10" i="4"/>
  <c r="N6" i="4"/>
  <c r="N12" i="4"/>
  <c r="N8" i="4"/>
  <c r="N11" i="4"/>
  <c r="N17" i="4"/>
  <c r="N13" i="4"/>
  <c r="N9" i="4"/>
  <c r="N7" i="4"/>
  <c r="N16" i="4"/>
  <c r="D21" i="3"/>
  <c r="C33" i="2" s="1"/>
  <c r="C34" i="2" s="1"/>
  <c r="E27" i="4" s="1"/>
  <c r="E28" i="4" l="1"/>
  <c r="N19" i="4"/>
  <c r="E22" i="4"/>
  <c r="E21" i="4"/>
  <c r="E23" i="4" l="1"/>
  <c r="E25" i="4"/>
</calcChain>
</file>

<file path=xl/sharedStrings.xml><?xml version="1.0" encoding="utf-8"?>
<sst xmlns="http://schemas.openxmlformats.org/spreadsheetml/2006/main" count="176" uniqueCount="168">
  <si>
    <t>NHS Cheshire &amp; Merseyside — Elective Capacity Optimizer</t>
  </si>
  <si>
    <t>Objective</t>
  </si>
  <si>
    <t>Minimize the total forecasted number of RTT incomplete pathways waiting over 52 weeks, summed across the 12 core Cheshire &amp; Merseyside trusts, over the 18-month forecast horizon (2026-04-01 to 2027-09-01).</t>
  </si>
  <si>
    <t>Decision variables</t>
  </si>
  <si>
    <t>36 cells (12 providers x 3 levers): additional monthly in-house elective capacity, independent-sector outsourcing, and diagnostic capacity investment, each expressed in RTT-equivalent completed pathways/month so the three levers are directly comparable. See the 'Solver Model' tab.</t>
  </si>
  <si>
    <t>Grain decision</t>
  </si>
  <si>
    <t>Decision variables sit at PROVIDER level, not provider-specialty. Two of the three capacity-ceiling data sources (NHS Workforce Statistics, KH03 bed occupancy) only exist at provider grain in the underlying warehouse — there is no specialty-level FTE or bed data to constrain against — so a genuinely specialty-disaggregated model isn't supportable by the data actually available, independent of Excel's Solver also having a practical ~200-variable ceiling that a 12 x ~20-specialty x 3-lever model would exceed anyway.</t>
  </si>
  <si>
    <t>Constraints</t>
  </si>
  <si>
    <t>(1) Total cost &lt;= budget envelope (an adjustable scenario input, not an asserted real ICB budget — see Assumptions tab); (2) each lever capped per provider by workforce/bed headroom or current activity growth rate; (3) independent-sector cap bounded by the ICB's current real outsourcing volume; (4) a BOUNDED equity tolerance — higher-deprivation providers must receive at least their baseline breach share minus 15 percentage points, not a hard no-worsening floor. All four per Vedant's confirmed design, docs/STATUS.md, 2026-08-07.</t>
  </si>
  <si>
    <t>How to use this workbook</t>
  </si>
  <si>
    <t>The 'Solver Model' tab is pre-filled with a Python-validated reference-optimal solution (scipy.optimize.linprog, HiGHS solver) for the default £15m budget scenario. Every decision cell (blue, columns I:K) is live and Solver-ready — change the budget or any Assumption and re-run Excel's own Solver (Data &gt; Solver) to re-optimize; exact cell references are on the 'Solver Model' tab itself.</t>
  </si>
  <si>
    <t>What's genuinely sourced vs. estimated</t>
  </si>
  <si>
    <t>UPDATED 2026-08-08, twice. First: Vedant supplied screenshots of NHS England's National Cost Collection (NCC) 2024/25 Power BI dashboard (this sandbox still can't pull it directly — web_fetch returns the underlying file as unusable opaque binary). The blended tariff is built from REAL national unit costs (Elective Inpatient £6,624, Daycase £1,078, Outpatient Procedures £233) combined with this ICB's own REAL admitted/non-admitted completion mix (14.7%/85.3%, from the warehouse itself), and the diagnostic lever's base cost from a real DM01-test-mix-weighted blend of four NCC diagnostic currencies (imaging, audiology, other physiological measurement, endoscopy-as-outpatient-procedure). Second: the ERF 75%/100% marginal-rate split — flagged as unverified ever since it was first used — was checked against the actual 2025/26 NHS Payment Scheme and found WRONG. That mechanism was removed for 2025/26: NHS and independent-sector providers are now both paid 100% of NHSPS unit price for elective activity, no marginal rates. c1 (in-house) and c2 (outsourcing) are corrected to be equal. Remaining unsourced figures: the diagnostic tests-per-pathway conversion (1.75x) and the one bridging assumption where RTT's own data can't distinguish daycase from inpatient completions. Full derivation, every source cell, is on the Assumptions tab.</t>
  </si>
  <si>
    <t>A finding worth reading before trusting one budget number</t>
  </si>
  <si>
    <t>With in-house and outsourcing now correctly priced EQUALLY (both £472/unit, following the 2025/26 payment-scheme correction above), the earlier 'outsourcing only activates once in-house is also full' story simplifies further: at any budget where both levers have spare capacity, the model is genuinely indifferent between them — Solver will fill whichever has capacity headroom left, not prefer one on cost grounds. Diagnostics (£247/unit) still fills first since it's structurally cheaper. The 'Budget Sensitivity' tab shows in-house/outsourcing activating together once diagnostic headroom exhausts (~£90m ICB-wide), with total reduction plateauing near 98% past that point — a capacity ceiling, not a budget ceiling.</t>
  </si>
  <si>
    <t>Model Assumptions</t>
  </si>
  <si>
    <t>Yellow = key input, edit here (formulas elsewhere reference these cells)</t>
  </si>
  <si>
    <t>Assumption</t>
  </si>
  <si>
    <t>Value</t>
  </si>
  <si>
    <t>Source / flag</t>
  </si>
  <si>
    <t>ncc_elective_inpatient_cost</t>
  </si>
  <si>
    <t>SOURCED — NHS England National Cost Collection (NCC) 2024/25, National Schedule of NHS costs, Summary: HRG tab, Total row, England-wide (206 providers).</t>
  </si>
  <si>
    <t>ncc_elective_inpatient_activity</t>
  </si>
  <si>
    <t>SOURCED — same NCC 2024/25 table, Elective Inpatients activity, Total row. National completion count, used only as the blend weight below.</t>
  </si>
  <si>
    <t>ncc_daycase_cost</t>
  </si>
  <si>
    <t>SOURCED — same NCC 2024/25 table, Daycase column, Total row.</t>
  </si>
  <si>
    <t>ncc_daycase_activity</t>
  </si>
  <si>
    <t>SOURCED — same NCC 2024/25 table, Daycase activity, Total row. National completion count, used only as the blend weight below.</t>
  </si>
  <si>
    <t>admitted_blended_cost</t>
  </si>
  <si>
    <t>Formula: (elective inpatient cost x its national activity + daycase cost x its national activity) / combined activity. RTT itself does not split "admitted" completions into daycase vs. inpatient, so this ICB's actual daycase/inpatient mix is unknown — bridged using the NCC's own NATIONAL activity mix (daycase is ~86% of national admitted activity) as the best available proxy. Flagged bridging assumption, not a guess at the unit costs themselves, which are real.</t>
  </si>
  <si>
    <t>ncc_outpatient_procedure_cost</t>
  </si>
  <si>
    <t>SOURCED — same NCC 2024/25 table, Outpatient Procedures column, Total row (19,224,707 completions nationally). Used as the proxy for a non-admitted RTT pathway completion.</t>
  </si>
  <si>
    <t>icb_admitted_share</t>
  </si>
  <si>
    <t>SOURCED from this warehouse, not NCC — the 12 core C&amp;M trusts' own trailing 6-month (Oct-2025 to Mar-2026) real RTT completed_admitted vs. completed_nonadmitted split (fact_rtt_provider_specialty_month). Genuinely this ICB's own mix, not a national figure.</t>
  </si>
  <si>
    <t>unit_tariff</t>
  </si>
  <si>
    <t>Formula: icb_admitted_share x admitted_blended_cost + (1-icb_admitted_share) x outpatient_procedure_cost. Real inputs throughout except the one flagged national-mix bridge above — this REPLACES an earlier flat £1,500 analyst guess with a properly weighted, mostly-sourced figure once Vedant supplied NCC screenshots, 2026-08-08.</t>
  </si>
  <si>
    <t>c1_inhouse</t>
  </si>
  <si>
    <t>Formula: unit_tariff x 100%. CORRECTED 2026-08-08 — previously 75% based on a 2022 HFMA article describing the 2022/23 ERF scheme, flagged as unverified. Verified against the actual 2025/26 NHS Payment Scheme (NHS England, "NHS provider payment mechanisms"): the marginal-rate mechanism was REMOVED — all elective activity now paid at 100% of NHSPS unit price, no floors/ceilings/marginal rates.</t>
  </si>
  <si>
    <t>c2_outsource</t>
  </si>
  <si>
    <t>Formula: unit_tariff x 100%. Same 2025/26 NHSPS rate applies equally to independent-sector activity — no policy-driven cost differential from in-house any more, unlike the now-corrected earlier version of this model.</t>
  </si>
  <si>
    <t>ncc_diagnostic_imaging_cost</t>
  </si>
  <si>
    <t>SOURCED — NCC 2024/25, Diagnostic Imaging column, Total row (8,573,583 tests nationally).</t>
  </si>
  <si>
    <t>ncc_audiology_cost</t>
  </si>
  <si>
    <t>SOURCED — NCC 2024/25, Directly Accessed Audiology, Total row (260,367 tests nationally).</t>
  </si>
  <si>
    <t>ncc_diagnostic_services_cost</t>
  </si>
  <si>
    <t>SOURCED — NCC 2024/25, Directly Accessed Diagnostic Services, Total row (6,180,962 tests nationally). Used as the proxy for non-audiology physiological measurement tests (echocardiography, sleep studies, neurophysiology, urodynamics) — DM01 has no more specific NCC match for these.</t>
  </si>
  <si>
    <t>dm01_imaging_share</t>
  </si>
  <si>
    <t>SOURCED from this warehouse — the 12 core trusts' real DM01 test volume that falls in the 'imaging' category (CT/MRI/ultrasound/DEXA/barium enema), whole warehouse window.</t>
  </si>
  <si>
    <t>dm01_audiology_share</t>
  </si>
  <si>
    <t>SOURCED — DM01 audiology-assessment share of total test volume, same basis.</t>
  </si>
  <si>
    <t>dm01_other_physio_share</t>
  </si>
  <si>
    <t>SOURCED — DM01 share for other physiological measurement tests (cardiology, neurophysiology, sleep studies, urodynamics), same basis.</t>
  </si>
  <si>
    <t>dm01_endoscopy_share</t>
  </si>
  <si>
    <t>SOURCED — DM01 endoscopy share (colonoscopy, gastroscopy, cystoscopy, flexi sigmoidoscopy), same basis. No dedicated NCC "diagnostic test" currency exists for endoscopy — most NHS endoscopies are costed as day-case/outpatient procedures, so Outpatient Procedures is used as the closest real match rather than reusing imaging.</t>
  </si>
  <si>
    <t>diag_weighted_cost</t>
  </si>
  <si>
    <t>Formula: DM01 category shares x their matched NCC currency cost, summed. Replaces an imaging-only proxy with one reflecting what DM01 actually measures — moves the number only slightly (£140 -&gt; £141) because imaging is ~79% of DM01 volume, which is itself a useful confirmation that the earlier imaging-only proxy was reasonable, not a wasted step.</t>
  </si>
  <si>
    <t>diag_tests_per_pathway</t>
  </si>
  <si>
    <t>ANALYST ESTIMATE — the one fully unsourced multiplier left in this model. Plausible clinical assumption (most RTT pathways need at least one diagnostic test before a treatment decision) but not itself a published NHS ratio; no cost dataset would contain this, sourced or not.</t>
  </si>
  <si>
    <t>c3_diagnostic</t>
  </si>
  <si>
    <t>Formula: diag_weighted_cost x diag_tests_per_pathway. Base cost is now real and DM01-weighted; the tests-per-pathway conversion remains the weakest-sourced figure here.</t>
  </si>
  <si>
    <t>inhouse_growth_rate</t>
  </si>
  <si>
    <t>Max in-house capacity growth vs. current trailing 6-month completions. Loosely anchored on a national elective-activity growth ambition cited in 2022/23-era ERF reporting (HFMA) — a growth TARGET, not a payment-mechanism detail, so unaffected by the 2025/26 marginal-rate correction elsewhere on this tab, but also not independently re-verified as current — treat as an analyst planning assumption, +buffer.</t>
  </si>
  <si>
    <t>diag_growth_rate</t>
  </si>
  <si>
    <t>Max diagnostic-lever growth vs. current completions — more conservative than in-house, reflecting this is an indirect/bottleneck-relief lever.</t>
  </si>
  <si>
    <t>is_growth_rate</t>
  </si>
  <si>
    <t>Assumed independent-sector short-term growth headroom vs. this ICB's current real outsourced RTT volume (sourced from the warehouse itself — see is_trailing_monthly below).</t>
  </si>
  <si>
    <t>bed_headroom_floor</t>
  </si>
  <si>
    <t>KH03 G&amp;A bed headroom (%) at/above which a provider faces no extra scaling on its in-house capacity cap; below this, the cap scales down proportionally.</t>
  </si>
  <si>
    <t>budget_total</t>
  </si>
  <si>
    <t>SCENARIO INPUT, not a sourced real ICB elective-recovery budget figure — none was publicly available. Change this cell and re-run Solver to see a different allocation.</t>
  </si>
  <si>
    <t>equity_tolerance_pp</t>
  </si>
  <si>
    <t>Bounded equity tolerance per Vedant's design steer (2026-08-07): higher-deprivation providers' share of total reduction can fall below their baseline breach share by at most this many percentage points — not a hard no-worsening floor.</t>
  </si>
  <si>
    <t>higher_baseline_share</t>
  </si>
  <si>
    <t>Linked from 'Provider Inputs' — higher-deprivation providers' share of total baseline over-52wk breaches.</t>
  </si>
  <si>
    <t>equity_floor_share</t>
  </si>
  <si>
    <t>Formula: higher_baseline_share - equity_tolerance_pp — the actual floor used in the Solver equity constraint.</t>
  </si>
  <si>
    <t>n_months</t>
  </si>
  <si>
    <t>Forecast horizon length, months.</t>
  </si>
  <si>
    <t>is_trailing_monthly</t>
  </si>
  <si>
    <t>Real, sourced from the warehouse: this ICB's actual trailing 6-month average monthly independent-sector RTT completed pathways (Mar-2026 warehouse data), NOT an estimate.</t>
  </si>
  <si>
    <t>12 Core Providers — Baseline Data &amp; Lever Caps</t>
  </si>
  <si>
    <t>Green = sourced from nhs_warehouse.db · Black = formula on this sheet</t>
  </si>
  <si>
    <t>Code</t>
  </si>
  <si>
    <t>Provider</t>
  </si>
  <si>
    <t>LA (host)</t>
  </si>
  <si>
    <t>LA IMD rank</t>
  </si>
  <si>
    <t>Higher-deprivation?</t>
  </si>
  <si>
    <t>Baseline over-52wk breaches (18mo)</t>
  </si>
  <si>
    <t>Trailing monthly completions</t>
  </si>
  <si>
    <t>Bed headroom %</t>
  </si>
  <si>
    <t>x1 cap (in-house, /mo)</t>
  </si>
  <si>
    <t>x2 cap (outsource, /mo)</t>
  </si>
  <si>
    <t>x3 cap (diagnostic, /mo)</t>
  </si>
  <si>
    <t>RBL</t>
  </si>
  <si>
    <t>WIRRAL UNIVERSITY TEACHING HOSPITAL NHS FOUNDATION TRUST</t>
  </si>
  <si>
    <t>Wirral</t>
  </si>
  <si>
    <t>RBN</t>
  </si>
  <si>
    <t>MERSEY AND WEST LANCASHIRE TEACHING HOSPITALS NHS TRUST</t>
  </si>
  <si>
    <t>Knowsley</t>
  </si>
  <si>
    <t>RBQ</t>
  </si>
  <si>
    <t>LIVERPOOL HEART AND CHEST HOSPITAL NHS FOUNDATION TRUST</t>
  </si>
  <si>
    <t>Liverpool</t>
  </si>
  <si>
    <t>RBS</t>
  </si>
  <si>
    <t>ALDER HEY CHILDRENS NHS FOUNDATION TRUST</t>
  </si>
  <si>
    <t>RBT</t>
  </si>
  <si>
    <t>MID CHESHIRE HOSPITALS NHS FOUNDATION TRUST</t>
  </si>
  <si>
    <t>Cheshire East</t>
  </si>
  <si>
    <t>REM</t>
  </si>
  <si>
    <t>LIVERPOOL UNIVERSITY HOSPITALS NHS FOUNDATION TRUST</t>
  </si>
  <si>
    <t>REN</t>
  </si>
  <si>
    <t>THE CLATTERBRIDGE CANCER CENTRE NHS FOUNDATION TRUST</t>
  </si>
  <si>
    <t>REP</t>
  </si>
  <si>
    <t>LIVERPOOL WOMENS NHS FOUNDATION TRUST</t>
  </si>
  <si>
    <t>RET</t>
  </si>
  <si>
    <t>THE WALTON CENTRE NHS FOUNDATION TRUST</t>
  </si>
  <si>
    <t>RJN</t>
  </si>
  <si>
    <t>EAST CHESHIRE NHS TRUST</t>
  </si>
  <si>
    <t>RJR</t>
  </si>
  <si>
    <t>COUNTESS OF CHESTER HOSPITAL NHS FOUNDATION TRUST</t>
  </si>
  <si>
    <t>Cheshire West and Chester</t>
  </si>
  <si>
    <t>RWW</t>
  </si>
  <si>
    <t>WARRINGTON AND HALTON TEACHING HOSPITALS NHS FOUNDATION TRUST</t>
  </si>
  <si>
    <t>Warrington</t>
  </si>
  <si>
    <t>MEDIAN LA IMD rank -&gt;</t>
  </si>
  <si>
    <t>TOTALS</t>
  </si>
  <si>
    <t>Higher-deprivation providers' share of baseline breaches</t>
  </si>
  <si>
    <t>Solver Model — Decision Variables &amp; Constraints</t>
  </si>
  <si>
    <t>Blue cells (I:K) are the Solver decision variables — edit directly or let Excel Solver optimize them.</t>
  </si>
  <si>
    <t>Higher-dep?</t>
  </si>
  <si>
    <t>Baseline 18mo</t>
  </si>
  <si>
    <t>x1 cap/mo</t>
  </si>
  <si>
    <t>x2 cap/mo</t>
  </si>
  <si>
    <t>x3 cap/mo</t>
  </si>
  <si>
    <t>x1 In-house/mo</t>
  </si>
  <si>
    <t>x2 Outsource/mo</t>
  </si>
  <si>
    <t>x3 Diagnostic/mo</t>
  </si>
  <si>
    <t>Reduction 18mo</t>
  </si>
  <si>
    <t>Residual 18mo</t>
  </si>
  <si>
    <t>Cost 18mo (£)</t>
  </si>
  <si>
    <t>TOTAL / OBJECTIVE</t>
  </si>
  <si>
    <t>Objective cell (Solver: Set Objective, To: Max)</t>
  </si>
  <si>
    <t>% of baseline breaches eliminated</t>
  </si>
  <si>
    <t>Total cost (18mo, £)</t>
  </si>
  <si>
    <t>Budget (£) — constraint: cost &lt;= budget</t>
  </si>
  <si>
    <t>Budget slack (must be &gt;= 0)</t>
  </si>
  <si>
    <t>Higher-deprivation providers' reduction</t>
  </si>
  <si>
    <t>Equity floor share (of total reduction)</t>
  </si>
  <si>
    <t>Equity check cell (must be &gt;= 0)</t>
  </si>
  <si>
    <t>Excel Solver setup (Data &gt; Solver — enable via File &gt; Options &gt; Add-ins if not visible)</t>
  </si>
  <si>
    <t>• Set Objective: $L19  -&gt;  To: Max</t>
  </si>
  <si>
    <t>• By Changing Variable Cells: $I$6:$K$17</t>
  </si>
  <si>
    <t>• Constraint 1 (budget): $N19 &lt;= $E24</t>
  </si>
  <si>
    <t>• Constraint 2 (equity): $E28 &gt;= 0</t>
  </si>
  <si>
    <t>• Constraint 3 (in-house cap): $I$6:$I$17 &lt;= $E$6:$E$17</t>
  </si>
  <si>
    <t>• Constraint 4 (outsource cap): $J$6:$J$17 &lt;= $F$6:$F$17</t>
  </si>
  <si>
    <t>• Constraint 5 (diagnostic cap): $K$6:$K$17 &lt;= $G$6:$G$17</t>
  </si>
  <si>
    <t>• Constraint 6 (non-negativity): $I$6:$K$17 &gt;= 0</t>
  </si>
  <si>
    <t>• Solving Method: Simplex LP (this is a linear program — GRG Nonlinear will also work but is slower and unnecessary)</t>
  </si>
  <si>
    <t>• Click Solve. Excel's Solver should converge to the same objective value already shown in the pre-filled cells above (a Python/scipy reference solve of the identical LP) — if it doesn't, something in the constraint setup above was mistyped, not a modeling error.</t>
  </si>
  <si>
    <t>Budget Sensitivity — 9-point sweep (reference Python solves, not live formulas)</t>
  </si>
  <si>
    <t>Shows which lever activates at which budget level. Re-solved independently per budget with scipy — read-only reference, not Solver-linked.</t>
  </si>
  <si>
    <t>Budget (£, 18mo)</t>
  </si>
  <si>
    <t>In-house units (18mo)</t>
  </si>
  <si>
    <t>Outsource units (18mo)</t>
  </si>
  <si>
    <t>Diagnostic units (18mo)</t>
  </si>
  <si>
    <t>Total reduction (breaches)</t>
  </si>
  <si>
    <t>% baseline eliminated</t>
  </si>
  <si>
    <t>Reading this (real NCC costs + the 2025/26 payment-scheme correction that made in-house and outsourcing cost the SAME): diagnostics (£247/unit) fills first as budget rises since it's structurally cheaper, then in-house and outsourcing (both £472/unit — genuinely tied on cost now, not one preferred over the other) activate together once diagnostic headroom exhausts around £90m ICB-wide, simply because they're the two remaining levers with capacity left. Beyond that point, total reduction plateaus around 98% regardless of further budget: every lever's CAPACITY ceiling (workforce/bed headroom, outsourcing pool) is now the binding constraint, not money. Below £90m this is a budget problem; above it, a capacity problem.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</si>
</sst>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#,##0;&quot;(£&quot;#,##0\);\-"/>
    <numFmt numFmtId="165" formatCode="0.0%"/>
    <numFmt numFmtId="166" formatCode="#,##0.0"/>
    <numFmt numFmtId="167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D9D9D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0" xfId="0" applyFont="1" applyFill="1"/>
    <xf numFmtId="0" fontId="2" fillId="0" borderId="1" xfId="0" applyFont="1" applyBorder="1"/>
    <xf numFmtId="164" fontId="6" fillId="3" borderId="1" xfId="0" applyNumberFormat="1" applyFont="1" applyFill="1" applyBorder="1"/>
    <xf numFmtId="0" fontId="4" fillId="0" borderId="1" xfId="0" applyFont="1" applyBorder="1" applyAlignment="1">
      <alignment vertical="top" wrapText="1"/>
    </xf>
    <xf numFmtId="3" fontId="6" fillId="3" borderId="1" xfId="0" applyNumberFormat="1" applyFont="1" applyFill="1" applyBorder="1"/>
    <xf numFmtId="164" fontId="7" fillId="0" borderId="1" xfId="0" applyNumberFormat="1" applyFont="1" applyBorder="1"/>
    <xf numFmtId="165" fontId="6" fillId="3" borderId="1" xfId="0" applyNumberFormat="1" applyFont="1" applyFill="1" applyBorder="1"/>
    <xf numFmtId="2" fontId="6" fillId="3" borderId="1" xfId="0" applyNumberFormat="1" applyFont="1" applyFill="1" applyBorder="1"/>
    <xf numFmtId="165" fontId="8" fillId="0" borderId="1" xfId="0" applyNumberFormat="1" applyFont="1" applyBorder="1"/>
    <xf numFmtId="165" fontId="7" fillId="0" borderId="1" xfId="0" applyNumberFormat="1" applyFont="1" applyBorder="1"/>
    <xf numFmtId="1" fontId="6" fillId="3" borderId="1" xfId="0" applyNumberFormat="1" applyFont="1" applyFill="1" applyBorder="1"/>
    <xf numFmtId="0" fontId="5" fillId="2" borderId="0" xfId="0" applyFont="1" applyFill="1" applyAlignment="1">
      <alignment horizontal="center" vertical="center" wrapText="1"/>
    </xf>
    <xf numFmtId="0" fontId="8" fillId="0" borderId="1" xfId="0" applyFont="1" applyBorder="1"/>
    <xf numFmtId="0" fontId="7" fillId="0" borderId="1" xfId="0" applyFont="1" applyBorder="1"/>
    <xf numFmtId="3" fontId="8" fillId="0" borderId="1" xfId="0" applyNumberFormat="1" applyFont="1" applyBorder="1"/>
    <xf numFmtId="166" fontId="7" fillId="0" borderId="1" xfId="0" applyNumberFormat="1" applyFont="1" applyBorder="1"/>
    <xf numFmtId="167" fontId="7" fillId="0" borderId="0" xfId="0" applyNumberFormat="1" applyFont="1"/>
    <xf numFmtId="0" fontId="0" fillId="4" borderId="0" xfId="0" applyFill="1"/>
    <xf numFmtId="0" fontId="2" fillId="4" borderId="0" xfId="0" applyFont="1" applyFill="1"/>
    <xf numFmtId="3" fontId="7" fillId="4" borderId="0" xfId="0" applyNumberFormat="1" applyFont="1" applyFill="1"/>
    <xf numFmtId="165" fontId="7" fillId="0" borderId="0" xfId="0" applyNumberFormat="1" applyFont="1"/>
    <xf numFmtId="166" fontId="8" fillId="0" borderId="1" xfId="0" applyNumberFormat="1" applyFont="1" applyBorder="1"/>
    <xf numFmtId="166" fontId="6" fillId="3" borderId="1" xfId="0" applyNumberFormat="1" applyFont="1" applyFill="1" applyBorder="1"/>
    <xf numFmtId="3" fontId="7" fillId="0" borderId="1" xfId="0" applyNumberFormat="1" applyFont="1" applyBorder="1"/>
    <xf numFmtId="164" fontId="7" fillId="4" borderId="0" xfId="0" applyNumberFormat="1" applyFont="1" applyFill="1"/>
    <xf numFmtId="3" fontId="7" fillId="5" borderId="1" xfId="0" applyNumberFormat="1" applyFont="1" applyFill="1" applyBorder="1"/>
    <xf numFmtId="164" fontId="8" fillId="0" borderId="1" xfId="0" applyNumberFormat="1" applyFont="1" applyBorder="1"/>
    <xf numFmtId="164" fontId="3" fillId="0" borderId="1" xfId="0" applyNumberFormat="1" applyFont="1" applyBorder="1"/>
    <xf numFmtId="3" fontId="3" fillId="0" borderId="1" xfId="0" applyNumberFormat="1" applyFont="1" applyBorder="1"/>
    <xf numFmtId="165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BE4B48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Lever activation by budget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'Budget Sensitivity'!$C$5</c:f>
              <c:strCache>
                <c:ptCount val="1"/>
                <c:pt idx="0">
                  <c:v>In-house units (18mo)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'Budget Sensitivity'!$B$6:$B$14</c:f>
              <c:numCache>
                <c:formatCode>\£#,##0;"(£"#,##0\);\-</c:formatCode>
                <c:ptCount val="9"/>
                <c:pt idx="0">
                  <c:v>2000000</c:v>
                </c:pt>
                <c:pt idx="1">
                  <c:v>5000000</c:v>
                </c:pt>
                <c:pt idx="2">
                  <c:v>10000000</c:v>
                </c:pt>
                <c:pt idx="3">
                  <c:v>15000000</c:v>
                </c:pt>
                <c:pt idx="4">
                  <c:v>25000000</c:v>
                </c:pt>
                <c:pt idx="5">
                  <c:v>40000000</c:v>
                </c:pt>
                <c:pt idx="6">
                  <c:v>60000000</c:v>
                </c:pt>
                <c:pt idx="7">
                  <c:v>90000000</c:v>
                </c:pt>
                <c:pt idx="8">
                  <c:v>130000000</c:v>
                </c:pt>
              </c:numCache>
            </c:numRef>
          </c:cat>
          <c:val>
            <c:numRef>
              <c:f>'Budget Sensitivity'!$C$6:$C$14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41488.399271531802</c:v>
                </c:pt>
                <c:pt idx="8">
                  <c:v>63095.844797796097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9B-1049-B99B-A66B13F26BC9}"/>
            </c:ext>
          </c:extLst>
        </c:ser>
        <c:ser>
          <c:idx val="1"/>
          <c:order val="1"/>
          <c:tx>
            <c:strRef>
              <c:f>'Budget Sensitivity'!$D$5</c:f>
              <c:strCache>
                <c:ptCount val="1"/>
                <c:pt idx="0">
                  <c:v>Outsource units (18mo)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'Budget Sensitivity'!$B$6:$B$14</c:f>
              <c:numCache>
                <c:formatCode>\£#,##0;"(£"#,##0\);\-</c:formatCode>
                <c:ptCount val="9"/>
                <c:pt idx="0">
                  <c:v>2000000</c:v>
                </c:pt>
                <c:pt idx="1">
                  <c:v>5000000</c:v>
                </c:pt>
                <c:pt idx="2">
                  <c:v>10000000</c:v>
                </c:pt>
                <c:pt idx="3">
                  <c:v>15000000</c:v>
                </c:pt>
                <c:pt idx="4">
                  <c:v>25000000</c:v>
                </c:pt>
                <c:pt idx="5">
                  <c:v>40000000</c:v>
                </c:pt>
                <c:pt idx="6">
                  <c:v>60000000</c:v>
                </c:pt>
                <c:pt idx="7">
                  <c:v>90000000</c:v>
                </c:pt>
                <c:pt idx="8">
                  <c:v>130000000</c:v>
                </c:pt>
              </c:numCache>
            </c:numRef>
          </c:cat>
          <c:val>
            <c:numRef>
              <c:f>'Budget Sensitivity'!$D$6:$D$14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39294.641031777101</c:v>
                </c:pt>
                <c:pt idx="8">
                  <c:v>39294.641031777101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29B-1049-B99B-A66B13F26BC9}"/>
            </c:ext>
          </c:extLst>
        </c:ser>
        <c:ser>
          <c:idx val="2"/>
          <c:order val="2"/>
          <c:tx>
            <c:strRef>
              <c:f>'Budget Sensitivity'!$E$5</c:f>
              <c:strCache>
                <c:ptCount val="1"/>
                <c:pt idx="0">
                  <c:v>Diagnostic units (18mo)</c:v>
                </c:pt>
              </c:strCache>
            </c:strRef>
          </c:tx>
          <c:spPr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'Budget Sensitivity'!$B$6:$B$14</c:f>
              <c:numCache>
                <c:formatCode>\£#,##0;"(£"#,##0\);\-</c:formatCode>
                <c:ptCount val="9"/>
                <c:pt idx="0">
                  <c:v>2000000</c:v>
                </c:pt>
                <c:pt idx="1">
                  <c:v>5000000</c:v>
                </c:pt>
                <c:pt idx="2">
                  <c:v>10000000</c:v>
                </c:pt>
                <c:pt idx="3">
                  <c:v>15000000</c:v>
                </c:pt>
                <c:pt idx="4">
                  <c:v>25000000</c:v>
                </c:pt>
                <c:pt idx="5">
                  <c:v>40000000</c:v>
                </c:pt>
                <c:pt idx="6">
                  <c:v>60000000</c:v>
                </c:pt>
                <c:pt idx="7">
                  <c:v>90000000</c:v>
                </c:pt>
                <c:pt idx="8">
                  <c:v>130000000</c:v>
                </c:pt>
              </c:numCache>
            </c:numRef>
          </c:cat>
          <c:val>
            <c:numRef>
              <c:f>'Budget Sensitivity'!$E$6:$E$14</c:f>
              <c:numCache>
                <c:formatCode>#,##0</c:formatCode>
                <c:ptCount val="9"/>
                <c:pt idx="0">
                  <c:v>8086.5398772379003</c:v>
                </c:pt>
                <c:pt idx="1">
                  <c:v>20216.349693094799</c:v>
                </c:pt>
                <c:pt idx="2">
                  <c:v>40432.699386189597</c:v>
                </c:pt>
                <c:pt idx="3">
                  <c:v>60649.049079284399</c:v>
                </c:pt>
                <c:pt idx="4">
                  <c:v>101081.748465474</c:v>
                </c:pt>
                <c:pt idx="5">
                  <c:v>161730.79754475801</c:v>
                </c:pt>
                <c:pt idx="6">
                  <c:v>242596.19631713699</c:v>
                </c:pt>
                <c:pt idx="7">
                  <c:v>209566.21514171499</c:v>
                </c:pt>
                <c:pt idx="8">
                  <c:v>187958.76961545099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29B-1049-B99B-A66B13F26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4728155"/>
        <c:axId val="53156167"/>
      </c:lineChart>
      <c:catAx>
        <c:axId val="247281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Budget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;&quot;(£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3156167"/>
        <c:crosses val="autoZero"/>
        <c:auto val="1"/>
        <c:lblAlgn val="ctr"/>
        <c:lblOffset val="100"/>
        <c:noMultiLvlLbl val="0"/>
      </c:catAx>
      <c:valAx>
        <c:axId val="531561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Units (18-month total)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47281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9</xdr:col>
      <xdr:colOff>415440</xdr:colOff>
      <xdr:row>38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3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110" customWidth="1"/>
  </cols>
  <sheetData>
    <row r="2" spans="2:2" ht="18" x14ac:dyDescent="0.2">
      <c r="B2" s="3" t="s">
        <v>0</v>
      </c>
    </row>
    <row r="4" spans="2:2" x14ac:dyDescent="0.2">
      <c r="B4" s="4" t="s">
        <v>1</v>
      </c>
    </row>
    <row r="5" spans="2:2" ht="60" customHeight="1" x14ac:dyDescent="0.2">
      <c r="B5" s="5" t="s">
        <v>2</v>
      </c>
    </row>
    <row r="7" spans="2:2" x14ac:dyDescent="0.2">
      <c r="B7" s="4" t="s">
        <v>3</v>
      </c>
    </row>
    <row r="8" spans="2:2" ht="60" customHeight="1" x14ac:dyDescent="0.2">
      <c r="B8" s="5" t="s">
        <v>4</v>
      </c>
    </row>
    <row r="10" spans="2:2" x14ac:dyDescent="0.2">
      <c r="B10" s="4" t="s">
        <v>5</v>
      </c>
    </row>
    <row r="11" spans="2:2" ht="105" customHeight="1" x14ac:dyDescent="0.2">
      <c r="B11" s="5" t="s">
        <v>6</v>
      </c>
    </row>
    <row r="13" spans="2:2" x14ac:dyDescent="0.2">
      <c r="B13" s="4" t="s">
        <v>7</v>
      </c>
    </row>
    <row r="14" spans="2:2" ht="105" customHeight="1" x14ac:dyDescent="0.2">
      <c r="B14" s="5" t="s">
        <v>8</v>
      </c>
    </row>
    <row r="16" spans="2:2" x14ac:dyDescent="0.2">
      <c r="B16" s="4" t="s">
        <v>9</v>
      </c>
    </row>
    <row r="17" spans="2:2" ht="75" customHeight="1" x14ac:dyDescent="0.2">
      <c r="B17" s="5" t="s">
        <v>10</v>
      </c>
    </row>
    <row r="19" spans="2:2" x14ac:dyDescent="0.2">
      <c r="B19" s="4" t="s">
        <v>11</v>
      </c>
    </row>
    <row r="20" spans="2:2" ht="225" customHeight="1" x14ac:dyDescent="0.2">
      <c r="B20" s="5" t="s">
        <v>12</v>
      </c>
    </row>
    <row r="22" spans="2:2" x14ac:dyDescent="0.2">
      <c r="B22" s="4" t="s">
        <v>13</v>
      </c>
    </row>
    <row r="23" spans="2:2" ht="135" customHeight="1" x14ac:dyDescent="0.2">
      <c r="B23" s="5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6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6640625" defaultRowHeight="15" x14ac:dyDescent="0.2"/>
  <cols>
    <col min="1" max="1" width="3" customWidth="1"/>
    <col min="2" max="2" width="34" customWidth="1"/>
    <col min="3" max="3" width="16" customWidth="1"/>
    <col min="4" max="4" width="70" customWidth="1"/>
  </cols>
  <sheetData>
    <row r="2" spans="2:4" ht="18" x14ac:dyDescent="0.2">
      <c r="B2" s="3" t="s">
        <v>15</v>
      </c>
    </row>
    <row r="4" spans="2:4" x14ac:dyDescent="0.2">
      <c r="B4" s="6" t="s">
        <v>16</v>
      </c>
    </row>
    <row r="6" spans="2:4" x14ac:dyDescent="0.2">
      <c r="B6" s="7" t="s">
        <v>17</v>
      </c>
      <c r="C6" s="7" t="s">
        <v>18</v>
      </c>
      <c r="D6" s="7" t="s">
        <v>19</v>
      </c>
    </row>
    <row r="7" spans="2:4" ht="25.5" customHeight="1" x14ac:dyDescent="0.2">
      <c r="B7" s="8" t="s">
        <v>20</v>
      </c>
      <c r="C7" s="9">
        <v>6624</v>
      </c>
      <c r="D7" s="10" t="s">
        <v>21</v>
      </c>
    </row>
    <row r="8" spans="2:4" ht="25.5" customHeight="1" x14ac:dyDescent="0.2">
      <c r="B8" s="8" t="s">
        <v>22</v>
      </c>
      <c r="C8" s="11">
        <v>1255967</v>
      </c>
      <c r="D8" s="10" t="s">
        <v>23</v>
      </c>
    </row>
    <row r="9" spans="2:4" ht="15" customHeight="1" x14ac:dyDescent="0.2">
      <c r="B9" s="8" t="s">
        <v>24</v>
      </c>
      <c r="C9" s="9">
        <v>1078</v>
      </c>
      <c r="D9" s="10" t="s">
        <v>25</v>
      </c>
    </row>
    <row r="10" spans="2:4" ht="25.5" customHeight="1" x14ac:dyDescent="0.2">
      <c r="B10" s="8" t="s">
        <v>26</v>
      </c>
      <c r="C10" s="11">
        <v>7680341</v>
      </c>
      <c r="D10" s="10" t="s">
        <v>27</v>
      </c>
    </row>
    <row r="11" spans="2:4" ht="78" customHeight="1" x14ac:dyDescent="0.2">
      <c r="B11" s="8" t="s">
        <v>28</v>
      </c>
      <c r="C11" s="12">
        <f>($C$7*$C$8+$C$9*$C$10)/($C$8+$C$10)</f>
        <v>1857.4710054756395</v>
      </c>
      <c r="D11" s="10" t="s">
        <v>29</v>
      </c>
    </row>
    <row r="12" spans="2:4" ht="39" customHeight="1" x14ac:dyDescent="0.2">
      <c r="B12" s="8" t="s">
        <v>30</v>
      </c>
      <c r="C12" s="9">
        <v>233</v>
      </c>
      <c r="D12" s="10" t="s">
        <v>31</v>
      </c>
    </row>
    <row r="13" spans="2:4" ht="51.75" customHeight="1" x14ac:dyDescent="0.2">
      <c r="B13" s="8" t="s">
        <v>32</v>
      </c>
      <c r="C13" s="13">
        <v>0.14742605157483299</v>
      </c>
      <c r="D13" s="10" t="s">
        <v>33</v>
      </c>
    </row>
    <row r="14" spans="2:4" ht="51.75" customHeight="1" x14ac:dyDescent="0.2">
      <c r="B14" s="8" t="s">
        <v>34</v>
      </c>
      <c r="C14" s="12">
        <f>$C$13*$C$11+(1-$C$13)*$C$12</f>
        <v>472.48934623507239</v>
      </c>
      <c r="D14" s="10" t="s">
        <v>35</v>
      </c>
    </row>
    <row r="15" spans="2:4" ht="64.5" customHeight="1" x14ac:dyDescent="0.2">
      <c r="B15" s="8" t="s">
        <v>36</v>
      </c>
      <c r="C15" s="12">
        <f>$C$14*1</f>
        <v>472.48934623507239</v>
      </c>
      <c r="D15" s="10" t="s">
        <v>37</v>
      </c>
    </row>
    <row r="16" spans="2:4" ht="39" customHeight="1" x14ac:dyDescent="0.2">
      <c r="B16" s="8" t="s">
        <v>38</v>
      </c>
      <c r="C16" s="12">
        <f>$C$14*1</f>
        <v>472.48934623507239</v>
      </c>
      <c r="D16" s="10" t="s">
        <v>39</v>
      </c>
    </row>
    <row r="17" spans="2:4" ht="25.5" customHeight="1" x14ac:dyDescent="0.2">
      <c r="B17" s="8" t="s">
        <v>40</v>
      </c>
      <c r="C17" s="9">
        <v>140</v>
      </c>
      <c r="D17" s="10" t="s">
        <v>41</v>
      </c>
    </row>
    <row r="18" spans="2:4" ht="25.5" customHeight="1" x14ac:dyDescent="0.2">
      <c r="B18" s="8" t="s">
        <v>42</v>
      </c>
      <c r="C18" s="9">
        <v>107</v>
      </c>
      <c r="D18" s="10" t="s">
        <v>43</v>
      </c>
    </row>
    <row r="19" spans="2:4" ht="51.75" customHeight="1" x14ac:dyDescent="0.2">
      <c r="B19" s="8" t="s">
        <v>44</v>
      </c>
      <c r="C19" s="9">
        <v>90</v>
      </c>
      <c r="D19" s="10" t="s">
        <v>45</v>
      </c>
    </row>
    <row r="20" spans="2:4" ht="39" customHeight="1" x14ac:dyDescent="0.2">
      <c r="B20" s="8" t="s">
        <v>46</v>
      </c>
      <c r="C20" s="13">
        <v>0.79206914144128304</v>
      </c>
      <c r="D20" s="10" t="s">
        <v>47</v>
      </c>
    </row>
    <row r="21" spans="2:4" ht="15" customHeight="1" x14ac:dyDescent="0.2">
      <c r="B21" s="8" t="s">
        <v>48</v>
      </c>
      <c r="C21" s="13">
        <v>3.8054741469859502E-2</v>
      </c>
      <c r="D21" s="10" t="s">
        <v>49</v>
      </c>
    </row>
    <row r="22" spans="2:4" ht="25.5" customHeight="1" x14ac:dyDescent="0.2">
      <c r="B22" s="8" t="s">
        <v>50</v>
      </c>
      <c r="C22" s="13">
        <v>9.2408017901366796E-2</v>
      </c>
      <c r="D22" s="10" t="s">
        <v>51</v>
      </c>
    </row>
    <row r="23" spans="2:4" ht="51.75" customHeight="1" x14ac:dyDescent="0.2">
      <c r="B23" s="8" t="s">
        <v>52</v>
      </c>
      <c r="C23" s="13">
        <v>7.7468099187491105E-2</v>
      </c>
      <c r="D23" s="10" t="s">
        <v>53</v>
      </c>
    </row>
    <row r="24" spans="2:4" ht="64.5" customHeight="1" x14ac:dyDescent="0.2">
      <c r="B24" s="8" t="s">
        <v>54</v>
      </c>
      <c r="C24" s="12">
        <f>$C$20*$C$17+$C$21*$C$18+$C$22*$C$19+$C$23*$C$12</f>
        <v>141.32832586086303</v>
      </c>
      <c r="D24" s="10" t="s">
        <v>55</v>
      </c>
    </row>
    <row r="25" spans="2:4" ht="51.75" customHeight="1" x14ac:dyDescent="0.2">
      <c r="B25" s="8" t="s">
        <v>56</v>
      </c>
      <c r="C25" s="14">
        <v>1.75</v>
      </c>
      <c r="D25" s="10" t="s">
        <v>57</v>
      </c>
    </row>
    <row r="26" spans="2:4" ht="25.5" customHeight="1" x14ac:dyDescent="0.2">
      <c r="B26" s="8" t="s">
        <v>58</v>
      </c>
      <c r="C26" s="12">
        <f>$C$24*$C$25</f>
        <v>247.3245702565103</v>
      </c>
      <c r="D26" s="10" t="s">
        <v>59</v>
      </c>
    </row>
    <row r="27" spans="2:4" ht="64.5" customHeight="1" x14ac:dyDescent="0.2">
      <c r="B27" s="8" t="s">
        <v>60</v>
      </c>
      <c r="C27" s="13">
        <v>0.15</v>
      </c>
      <c r="D27" s="10" t="s">
        <v>61</v>
      </c>
    </row>
    <row r="28" spans="2:4" ht="25.5" customHeight="1" x14ac:dyDescent="0.2">
      <c r="B28" s="8" t="s">
        <v>62</v>
      </c>
      <c r="C28" s="13">
        <v>0.1</v>
      </c>
      <c r="D28" s="10" t="s">
        <v>63</v>
      </c>
    </row>
    <row r="29" spans="2:4" ht="39" customHeight="1" x14ac:dyDescent="0.2">
      <c r="B29" s="8" t="s">
        <v>64</v>
      </c>
      <c r="C29" s="13">
        <v>0.5</v>
      </c>
      <c r="D29" s="10" t="s">
        <v>65</v>
      </c>
    </row>
    <row r="30" spans="2:4" ht="25.5" customHeight="1" x14ac:dyDescent="0.2">
      <c r="B30" s="8" t="s">
        <v>66</v>
      </c>
      <c r="C30" s="13">
        <v>0.1</v>
      </c>
      <c r="D30" s="10" t="s">
        <v>67</v>
      </c>
    </row>
    <row r="31" spans="2:4" ht="25.5" customHeight="1" x14ac:dyDescent="0.2">
      <c r="B31" s="8" t="s">
        <v>68</v>
      </c>
      <c r="C31" s="9">
        <v>15000000</v>
      </c>
      <c r="D31" s="10" t="s">
        <v>69</v>
      </c>
    </row>
    <row r="32" spans="2:4" ht="39" customHeight="1" x14ac:dyDescent="0.2">
      <c r="B32" s="8" t="s">
        <v>70</v>
      </c>
      <c r="C32" s="13">
        <v>0.15</v>
      </c>
      <c r="D32" s="10" t="s">
        <v>71</v>
      </c>
    </row>
    <row r="33" spans="2:4" ht="25.5" customHeight="1" x14ac:dyDescent="0.2">
      <c r="B33" s="8" t="s">
        <v>72</v>
      </c>
      <c r="C33" s="15">
        <f>'Provider Inputs'!D21</f>
        <v>0.44739469664918546</v>
      </c>
      <c r="D33" s="10" t="s">
        <v>73</v>
      </c>
    </row>
    <row r="34" spans="2:4" ht="25.5" customHeight="1" x14ac:dyDescent="0.2">
      <c r="B34" s="8" t="s">
        <v>74</v>
      </c>
      <c r="C34" s="16">
        <f>$C$33-$C$32</f>
        <v>0.2973946966491855</v>
      </c>
      <c r="D34" s="10" t="s">
        <v>75</v>
      </c>
    </row>
    <row r="35" spans="2:4" ht="15" customHeight="1" x14ac:dyDescent="0.2">
      <c r="B35" s="8" t="s">
        <v>76</v>
      </c>
      <c r="C35" s="17">
        <v>18</v>
      </c>
      <c r="D35" s="10" t="s">
        <v>77</v>
      </c>
    </row>
    <row r="36" spans="2:4" ht="39" customHeight="1" x14ac:dyDescent="0.2">
      <c r="B36" s="8" t="s">
        <v>78</v>
      </c>
      <c r="C36" s="11">
        <v>15019.333333333299</v>
      </c>
      <c r="D36" s="10" t="s"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21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6640625" defaultRowHeight="15" x14ac:dyDescent="0.2"/>
  <cols>
    <col min="1" max="1" width="3" customWidth="1"/>
    <col min="2" max="2" width="8" customWidth="1"/>
    <col min="3" max="3" width="34" customWidth="1"/>
    <col min="4" max="4" width="12" customWidth="1"/>
    <col min="5" max="5" width="16" customWidth="1"/>
    <col min="6" max="6" width="14" customWidth="1"/>
    <col min="7" max="7" width="16" customWidth="1"/>
    <col min="8" max="8" width="15" customWidth="1"/>
    <col min="9" max="12" width="14" customWidth="1"/>
  </cols>
  <sheetData>
    <row r="2" spans="2:12" ht="18" x14ac:dyDescent="0.2">
      <c r="B2" s="3" t="s">
        <v>80</v>
      </c>
    </row>
    <row r="3" spans="2:12" x14ac:dyDescent="0.2">
      <c r="B3" s="6" t="s">
        <v>81</v>
      </c>
    </row>
    <row r="5" spans="2:12" ht="42" customHeight="1" x14ac:dyDescent="0.2">
      <c r="B5" s="18" t="s">
        <v>82</v>
      </c>
      <c r="C5" s="18" t="s">
        <v>83</v>
      </c>
      <c r="D5" s="18" t="s">
        <v>84</v>
      </c>
      <c r="E5" s="18" t="s">
        <v>85</v>
      </c>
      <c r="F5" s="18" t="s">
        <v>86</v>
      </c>
      <c r="G5" s="18" t="s">
        <v>87</v>
      </c>
      <c r="H5" s="18" t="s">
        <v>88</v>
      </c>
      <c r="I5" s="18" t="s">
        <v>89</v>
      </c>
      <c r="J5" s="18" t="s">
        <v>90</v>
      </c>
      <c r="K5" s="18" t="s">
        <v>91</v>
      </c>
      <c r="L5" s="18" t="s">
        <v>92</v>
      </c>
    </row>
    <row r="6" spans="2:12" x14ac:dyDescent="0.2">
      <c r="B6" s="19" t="s">
        <v>93</v>
      </c>
      <c r="C6" s="19" t="s">
        <v>94</v>
      </c>
      <c r="D6" s="19" t="s">
        <v>95</v>
      </c>
      <c r="E6" s="19">
        <v>56</v>
      </c>
      <c r="F6" s="20" t="b">
        <f t="shared" ref="F6:F17" si="0">E6&lt;=$E$18</f>
        <v>0</v>
      </c>
      <c r="G6" s="21">
        <v>36315.920949962398</v>
      </c>
      <c r="H6" s="21">
        <v>17334.666666666701</v>
      </c>
      <c r="I6" s="15">
        <v>7.7429437899999995E-2</v>
      </c>
      <c r="J6" s="22">
        <f>H6*Assumptions!$C$27*MIN(1,I6/Assumptions!$C$30)</f>
        <v>2013.3202442758034</v>
      </c>
      <c r="K6" s="22">
        <f>G6/SUM($G$6:$G$17)*Assumptions!$C$36*Assumptions!$C$29</f>
        <v>920.46930183137408</v>
      </c>
      <c r="L6" s="22">
        <f>H6*Assumptions!$C$28</f>
        <v>1733.4666666666701</v>
      </c>
    </row>
    <row r="7" spans="2:12" x14ac:dyDescent="0.2">
      <c r="B7" s="19" t="s">
        <v>96</v>
      </c>
      <c r="C7" s="19" t="s">
        <v>97</v>
      </c>
      <c r="D7" s="19" t="s">
        <v>98</v>
      </c>
      <c r="E7" s="19">
        <v>3</v>
      </c>
      <c r="F7" s="20" t="b">
        <f t="shared" si="0"/>
        <v>1</v>
      </c>
      <c r="G7" s="21">
        <v>57571.7998567209</v>
      </c>
      <c r="H7" s="21">
        <v>36202.333333333299</v>
      </c>
      <c r="I7" s="15">
        <v>2.7620373600000001E-2</v>
      </c>
      <c r="J7" s="22">
        <f>H7*Assumptions!$C$27*MIN(1,I7/Assumptions!$C$30)</f>
        <v>1499.8829577875986</v>
      </c>
      <c r="K7" s="22">
        <f>G7/SUM($G$6:$G$17)*Assumptions!$C$36*Assumptions!$C$29</f>
        <v>1459.2243025395824</v>
      </c>
      <c r="L7" s="22">
        <f>H7*Assumptions!$C$28</f>
        <v>3620.2333333333299</v>
      </c>
    </row>
    <row r="8" spans="2:12" x14ac:dyDescent="0.2">
      <c r="B8" s="19" t="s">
        <v>99</v>
      </c>
      <c r="C8" s="19" t="s">
        <v>100</v>
      </c>
      <c r="D8" s="19" t="s">
        <v>101</v>
      </c>
      <c r="E8" s="19">
        <v>4</v>
      </c>
      <c r="F8" s="20" t="b">
        <f t="shared" si="0"/>
        <v>1</v>
      </c>
      <c r="G8" s="21">
        <v>1288.0384011171</v>
      </c>
      <c r="H8" s="21">
        <v>3009.3333333332998</v>
      </c>
      <c r="I8" s="15">
        <v>0.20796179449999999</v>
      </c>
      <c r="J8" s="22">
        <f>H8*Assumptions!$C$27*MIN(1,I8/Assumptions!$C$30)</f>
        <v>451.39999999999498</v>
      </c>
      <c r="K8" s="22">
        <f>G8/SUM($G$6:$G$17)*Assumptions!$C$36*Assumptions!$C$29</f>
        <v>32.64683303617236</v>
      </c>
      <c r="L8" s="22">
        <f>H8*Assumptions!$C$28</f>
        <v>300.93333333332998</v>
      </c>
    </row>
    <row r="9" spans="2:12" x14ac:dyDescent="0.2">
      <c r="B9" s="19" t="s">
        <v>102</v>
      </c>
      <c r="C9" s="19" t="s">
        <v>103</v>
      </c>
      <c r="D9" s="19" t="s">
        <v>101</v>
      </c>
      <c r="E9" s="19">
        <v>4</v>
      </c>
      <c r="F9" s="20" t="b">
        <f t="shared" si="0"/>
        <v>1</v>
      </c>
      <c r="G9" s="21">
        <v>6840.8135127054002</v>
      </c>
      <c r="H9" s="21">
        <v>8102</v>
      </c>
      <c r="I9" s="15">
        <v>0.25144827590000002</v>
      </c>
      <c r="J9" s="22">
        <f>H9*Assumptions!$C$27*MIN(1,I9/Assumptions!$C$30)</f>
        <v>1215.3</v>
      </c>
      <c r="K9" s="22">
        <f>G9/SUM($G$6:$G$17)*Assumptions!$C$36*Assumptions!$C$29</f>
        <v>173.38838375252851</v>
      </c>
      <c r="L9" s="22">
        <f>H9*Assumptions!$C$28</f>
        <v>810.2</v>
      </c>
    </row>
    <row r="10" spans="2:12" x14ac:dyDescent="0.2">
      <c r="B10" s="19" t="s">
        <v>104</v>
      </c>
      <c r="C10" s="19" t="s">
        <v>105</v>
      </c>
      <c r="D10" s="19" t="s">
        <v>106</v>
      </c>
      <c r="E10" s="19">
        <v>131</v>
      </c>
      <c r="F10" s="20" t="b">
        <f t="shared" si="0"/>
        <v>0</v>
      </c>
      <c r="G10" s="21">
        <v>33321.374617770598</v>
      </c>
      <c r="H10" s="21">
        <v>18269.333333333299</v>
      </c>
      <c r="I10" s="15">
        <v>6.4356324000000006E-2</v>
      </c>
      <c r="J10" s="22">
        <f>H10*Assumptions!$C$27*MIN(1,I10/Assumptions!$C$30)</f>
        <v>1763.6207028959966</v>
      </c>
      <c r="K10" s="22">
        <f>G10/SUM($G$6:$G$17)*Assumptions!$C$36*Assumptions!$C$29</f>
        <v>844.5690382667475</v>
      </c>
      <c r="L10" s="22">
        <f>H10*Assumptions!$C$28</f>
        <v>1826.93333333333</v>
      </c>
    </row>
    <row r="11" spans="2:12" x14ac:dyDescent="0.2">
      <c r="B11" s="19" t="s">
        <v>107</v>
      </c>
      <c r="C11" s="19" t="s">
        <v>108</v>
      </c>
      <c r="D11" s="19" t="s">
        <v>101</v>
      </c>
      <c r="E11" s="19">
        <v>4</v>
      </c>
      <c r="F11" s="20" t="b">
        <f t="shared" si="0"/>
        <v>1</v>
      </c>
      <c r="G11" s="21">
        <v>41996.017599954001</v>
      </c>
      <c r="H11" s="21">
        <v>24960.333333333299</v>
      </c>
      <c r="I11" s="15">
        <v>3.66521847E-2</v>
      </c>
      <c r="J11" s="22">
        <f>H11*Assumptions!$C$27*MIN(1,I11/Assumptions!$C$30)</f>
        <v>1372.276121260348</v>
      </c>
      <c r="K11" s="22">
        <f>G11/SUM($G$6:$G$17)*Assumptions!$C$36*Assumptions!$C$29</f>
        <v>1064.4379651885924</v>
      </c>
      <c r="L11" s="22">
        <f>H11*Assumptions!$C$28</f>
        <v>2496.0333333333301</v>
      </c>
    </row>
    <row r="12" spans="2:12" x14ac:dyDescent="0.2">
      <c r="B12" s="19" t="s">
        <v>109</v>
      </c>
      <c r="C12" s="19" t="s">
        <v>110</v>
      </c>
      <c r="D12" s="19" t="s">
        <v>95</v>
      </c>
      <c r="E12" s="19">
        <v>56</v>
      </c>
      <c r="F12" s="20" t="b">
        <f t="shared" si="0"/>
        <v>0</v>
      </c>
      <c r="G12" s="21">
        <v>0</v>
      </c>
      <c r="H12" s="21">
        <v>1051.3333333333001</v>
      </c>
      <c r="I12" s="15">
        <v>9.1578947399999999E-2</v>
      </c>
      <c r="J12" s="22">
        <f>H12*Assumptions!$C$27*MIN(1,I12/Assumptions!$C$30)</f>
        <v>144.42000004979542</v>
      </c>
      <c r="K12" s="22">
        <f>G12/SUM($G$6:$G$17)*Assumptions!$C$36*Assumptions!$C$29</f>
        <v>0</v>
      </c>
      <c r="L12" s="22">
        <f>H12*Assumptions!$C$28</f>
        <v>105.13333333333001</v>
      </c>
    </row>
    <row r="13" spans="2:12" x14ac:dyDescent="0.2">
      <c r="B13" s="19" t="s">
        <v>111</v>
      </c>
      <c r="C13" s="19" t="s">
        <v>112</v>
      </c>
      <c r="D13" s="19" t="s">
        <v>101</v>
      </c>
      <c r="E13" s="19">
        <v>4</v>
      </c>
      <c r="F13" s="20" t="b">
        <f t="shared" si="0"/>
        <v>1</v>
      </c>
      <c r="G13" s="21">
        <v>16961.986013428901</v>
      </c>
      <c r="H13" s="21">
        <v>7333.3333333333003</v>
      </c>
      <c r="I13" s="15">
        <v>0.37126498479999998</v>
      </c>
      <c r="J13" s="22">
        <f>H13*Assumptions!$C$27*MIN(1,I13/Assumptions!$C$30)</f>
        <v>1099.999999999995</v>
      </c>
      <c r="K13" s="22">
        <f>G13/SUM($G$6:$G$17)*Assumptions!$C$36*Assumptions!$C$29</f>
        <v>429.92128562474466</v>
      </c>
      <c r="L13" s="22">
        <f>H13*Assumptions!$C$28</f>
        <v>733.33333333333007</v>
      </c>
    </row>
    <row r="14" spans="2:12" x14ac:dyDescent="0.2">
      <c r="B14" s="19" t="s">
        <v>113</v>
      </c>
      <c r="C14" s="19" t="s">
        <v>114</v>
      </c>
      <c r="D14" s="19" t="s">
        <v>101</v>
      </c>
      <c r="E14" s="19">
        <v>4</v>
      </c>
      <c r="F14" s="20" t="b">
        <f t="shared" si="0"/>
        <v>1</v>
      </c>
      <c r="G14" s="21">
        <v>7897.3002449531004</v>
      </c>
      <c r="H14" s="21">
        <v>7339.6666666666997</v>
      </c>
      <c r="I14" s="15">
        <v>0.17827215190000001</v>
      </c>
      <c r="J14" s="22">
        <f>H14*Assumptions!$C$27*MIN(1,I14/Assumptions!$C$30)</f>
        <v>1100.9500000000048</v>
      </c>
      <c r="K14" s="22">
        <f>G14/SUM($G$6:$G$17)*Assumptions!$C$36*Assumptions!$C$29</f>
        <v>200.16627012820521</v>
      </c>
      <c r="L14" s="22">
        <f>H14*Assumptions!$C$28</f>
        <v>733.96666666666999</v>
      </c>
    </row>
    <row r="15" spans="2:12" x14ac:dyDescent="0.2">
      <c r="B15" s="19" t="s">
        <v>115</v>
      </c>
      <c r="C15" s="19" t="s">
        <v>116</v>
      </c>
      <c r="D15" s="19" t="s">
        <v>106</v>
      </c>
      <c r="E15" s="19">
        <v>131</v>
      </c>
      <c r="F15" s="20" t="b">
        <f t="shared" si="0"/>
        <v>0</v>
      </c>
      <c r="G15" s="21">
        <v>19081.145184594101</v>
      </c>
      <c r="H15" s="21">
        <v>4482</v>
      </c>
      <c r="I15" s="15">
        <v>8.2918566799999996E-2</v>
      </c>
      <c r="J15" s="22">
        <f>H15*Assumptions!$C$27*MIN(1,I15/Assumptions!$C$30)</f>
        <v>557.46152459639995</v>
      </c>
      <c r="K15" s="22">
        <f>G15/SUM($G$6:$G$17)*Assumptions!$C$36*Assumptions!$C$29</f>
        <v>483.63384231412704</v>
      </c>
      <c r="L15" s="22">
        <f>H15*Assumptions!$C$28</f>
        <v>448.20000000000005</v>
      </c>
    </row>
    <row r="16" spans="2:12" x14ac:dyDescent="0.2">
      <c r="B16" s="19" t="s">
        <v>117</v>
      </c>
      <c r="C16" s="19" t="s">
        <v>118</v>
      </c>
      <c r="D16" s="19" t="s">
        <v>119</v>
      </c>
      <c r="E16" s="19">
        <v>112</v>
      </c>
      <c r="F16" s="20" t="b">
        <f t="shared" si="0"/>
        <v>0</v>
      </c>
      <c r="G16" s="21">
        <v>46245.964654786003</v>
      </c>
      <c r="H16" s="21">
        <v>15043.666666666701</v>
      </c>
      <c r="I16" s="15">
        <v>6.6055942999999999E-3</v>
      </c>
      <c r="J16" s="22">
        <f>H16*Assumptions!$C$27*MIN(1,I16/Assumptions!$C$30)</f>
        <v>149.05853817665033</v>
      </c>
      <c r="K16" s="22">
        <f>G16/SUM($G$6:$G$17)*Assumptions!$C$36*Assumptions!$C$29</f>
        <v>1172.157821825894</v>
      </c>
      <c r="L16" s="22">
        <f>H16*Assumptions!$C$28</f>
        <v>1504.3666666666702</v>
      </c>
    </row>
    <row r="17" spans="2:12" x14ac:dyDescent="0.2">
      <c r="B17" s="19" t="s">
        <v>120</v>
      </c>
      <c r="C17" s="19" t="s">
        <v>121</v>
      </c>
      <c r="D17" s="19" t="s">
        <v>122</v>
      </c>
      <c r="E17" s="19">
        <v>109</v>
      </c>
      <c r="F17" s="20" t="b">
        <f t="shared" si="0"/>
        <v>0</v>
      </c>
      <c r="G17" s="21">
        <v>28763.7849802044</v>
      </c>
      <c r="H17" s="21">
        <v>13343.666666666701</v>
      </c>
      <c r="I17" s="15">
        <v>6.0943017600000003E-2</v>
      </c>
      <c r="J17" s="22">
        <f>H17*Assumptions!$C$27*MIN(1,I17/Assumptions!$C$30)</f>
        <v>1219.804968772803</v>
      </c>
      <c r="K17" s="22">
        <f>G17/SUM($G$6:$G$17)*Assumptions!$C$36*Assumptions!$C$29</f>
        <v>729.05162215868086</v>
      </c>
      <c r="L17" s="22">
        <f>H17*Assumptions!$C$28</f>
        <v>1334.3666666666702</v>
      </c>
    </row>
    <row r="18" spans="2:12" x14ac:dyDescent="0.2">
      <c r="C18" s="4" t="s">
        <v>123</v>
      </c>
      <c r="E18" s="23">
        <f>MEDIAN(E6:E17)</f>
        <v>30</v>
      </c>
    </row>
    <row r="20" spans="2:12" x14ac:dyDescent="0.2">
      <c r="B20" s="24"/>
      <c r="C20" s="25" t="s">
        <v>124</v>
      </c>
      <c r="D20" s="24"/>
      <c r="E20" s="24"/>
      <c r="F20" s="24"/>
      <c r="G20" s="26">
        <f>SUM(G6:G17)</f>
        <v>296284.14601619693</v>
      </c>
      <c r="H20" s="24"/>
      <c r="I20" s="24"/>
      <c r="J20" s="24"/>
      <c r="K20" s="24"/>
      <c r="L20" s="24"/>
    </row>
    <row r="21" spans="2:12" x14ac:dyDescent="0.2">
      <c r="C21" s="4" t="s">
        <v>125</v>
      </c>
      <c r="D21" s="27">
        <f>SUMIF(F6:F17,TRUE(),G6:G17)/G20</f>
        <v>0.44739469664918546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41"/>
  <sheetViews>
    <sheetView showGridLines="0" tabSelected="1" zoomScaleNormal="100" workbookViewId="0">
      <pane xSplit="2" ySplit="5" topLeftCell="F7" activePane="bottomRight" state="frozen"/>
      <selection pane="topRight" activeCell="C1" sqref="C1"/>
      <selection pane="bottomLeft" activeCell="A6" sqref="A6"/>
      <selection pane="bottomRight" activeCell="L19" sqref="L19"/>
    </sheetView>
  </sheetViews>
  <sheetFormatPr baseColWidth="10" defaultColWidth="8.6640625" defaultRowHeight="15" x14ac:dyDescent="0.2"/>
  <cols>
    <col min="1" max="1" width="3" customWidth="1"/>
    <col min="2" max="2" width="8" customWidth="1"/>
    <col min="3" max="3" width="30" customWidth="1"/>
    <col min="4" max="4" width="15" customWidth="1"/>
    <col min="5" max="5" width="20" customWidth="1"/>
    <col min="6" max="11" width="13" customWidth="1"/>
    <col min="12" max="14" width="15" customWidth="1"/>
  </cols>
  <sheetData>
    <row r="2" spans="2:14" ht="18" x14ac:dyDescent="0.2">
      <c r="B2" s="3" t="s">
        <v>126</v>
      </c>
    </row>
    <row r="3" spans="2:14" x14ac:dyDescent="0.2">
      <c r="B3" s="6" t="s">
        <v>127</v>
      </c>
    </row>
    <row r="5" spans="2:14" ht="30" customHeight="1" x14ac:dyDescent="0.2">
      <c r="B5" s="18" t="s">
        <v>82</v>
      </c>
      <c r="C5" s="18" t="s">
        <v>83</v>
      </c>
      <c r="D5" s="18" t="s">
        <v>128</v>
      </c>
      <c r="E5" s="18" t="s">
        <v>129</v>
      </c>
      <c r="F5" s="18" t="s">
        <v>130</v>
      </c>
      <c r="G5" s="18" t="s">
        <v>131</v>
      </c>
      <c r="H5" s="18" t="s">
        <v>132</v>
      </c>
      <c r="I5" s="18" t="s">
        <v>133</v>
      </c>
      <c r="J5" s="18" t="s">
        <v>134</v>
      </c>
      <c r="K5" s="18" t="s">
        <v>135</v>
      </c>
      <c r="L5" s="18" t="s">
        <v>136</v>
      </c>
      <c r="M5" s="18" t="s">
        <v>137</v>
      </c>
      <c r="N5" s="18" t="s">
        <v>138</v>
      </c>
    </row>
    <row r="6" spans="2:14" x14ac:dyDescent="0.2">
      <c r="B6" s="19" t="str">
        <f>'Provider Inputs'!B6</f>
        <v>RBL</v>
      </c>
      <c r="C6" s="19" t="str">
        <f>'Provider Inputs'!C6</f>
        <v>WIRRAL UNIVERSITY TEACHING HOSPITAL NHS FOUNDATION TRUST</v>
      </c>
      <c r="D6" s="19" t="b">
        <f>'Provider Inputs'!F6</f>
        <v>0</v>
      </c>
      <c r="E6" s="21">
        <f>'Provider Inputs'!G6</f>
        <v>36315.920949962398</v>
      </c>
      <c r="F6" s="28">
        <f>'Provider Inputs'!J6</f>
        <v>2013.3202442758034</v>
      </c>
      <c r="G6" s="28">
        <f>'Provider Inputs'!K6</f>
        <v>920.46930183137408</v>
      </c>
      <c r="H6" s="28">
        <f>'Provider Inputs'!L6</f>
        <v>1733.4666666666701</v>
      </c>
      <c r="I6" s="29">
        <v>0</v>
      </c>
      <c r="J6" s="29">
        <v>0</v>
      </c>
      <c r="K6" s="29">
        <v>0</v>
      </c>
      <c r="L6" s="30">
        <f>MIN(E6,Assumptions!$C$35*(I6+J6+K6))</f>
        <v>0</v>
      </c>
      <c r="M6" s="30">
        <f t="shared" ref="M6:M17" si="0">E6-L6</f>
        <v>36315.920949962398</v>
      </c>
      <c r="N6" s="12">
        <f>Assumptions!$C$35*(Assumptions!$C$15*I6+Assumptions!$C$16*J6+Assumptions!$C$26*K6)</f>
        <v>0</v>
      </c>
    </row>
    <row r="7" spans="2:14" x14ac:dyDescent="0.2">
      <c r="B7" s="19" t="str">
        <f>'Provider Inputs'!B7</f>
        <v>RBN</v>
      </c>
      <c r="C7" s="19" t="str">
        <f>'Provider Inputs'!C7</f>
        <v>MERSEY AND WEST LANCASHIRE TEACHING HOSPITALS NHS TRUST</v>
      </c>
      <c r="D7" s="19" t="b">
        <f>'Provider Inputs'!F7</f>
        <v>1</v>
      </c>
      <c r="E7" s="21">
        <f>'Provider Inputs'!G7</f>
        <v>57571.7998567209</v>
      </c>
      <c r="F7" s="28">
        <f>'Provider Inputs'!J7</f>
        <v>1499.8829577875986</v>
      </c>
      <c r="G7" s="28">
        <f>'Provider Inputs'!K7</f>
        <v>1459.2243025395824</v>
      </c>
      <c r="H7" s="28">
        <f>'Provider Inputs'!L7</f>
        <v>3620.2333333333299</v>
      </c>
      <c r="I7" s="29">
        <v>0</v>
      </c>
      <c r="J7" s="29">
        <v>0</v>
      </c>
      <c r="K7" s="29">
        <v>339.30480859950575</v>
      </c>
      <c r="L7" s="30">
        <f>MIN(E7,Assumptions!$C$35*(I7+J7+K7))</f>
        <v>6107.4865547911031</v>
      </c>
      <c r="M7" s="30">
        <f t="shared" si="0"/>
        <v>51464.313301929797</v>
      </c>
      <c r="N7" s="12">
        <f>Assumptions!$C$35*(Assumptions!$C$15*I7+Assumptions!$C$16*J7+Assumptions!$C$26*K7)</f>
        <v>1510531.4875111245</v>
      </c>
    </row>
    <row r="8" spans="2:14" x14ac:dyDescent="0.2">
      <c r="B8" s="19" t="str">
        <f>'Provider Inputs'!B8</f>
        <v>RBQ</v>
      </c>
      <c r="C8" s="19" t="str">
        <f>'Provider Inputs'!C8</f>
        <v>LIVERPOOL HEART AND CHEST HOSPITAL NHS FOUNDATION TRUST</v>
      </c>
      <c r="D8" s="19" t="b">
        <f>'Provider Inputs'!F8</f>
        <v>1</v>
      </c>
      <c r="E8" s="21">
        <f>'Provider Inputs'!G8</f>
        <v>1288.0384011171</v>
      </c>
      <c r="F8" s="28">
        <f>'Provider Inputs'!J8</f>
        <v>451.39999999999498</v>
      </c>
      <c r="G8" s="28">
        <f>'Provider Inputs'!K8</f>
        <v>32.64683303617236</v>
      </c>
      <c r="H8" s="28">
        <f>'Provider Inputs'!L8</f>
        <v>300.93333333332998</v>
      </c>
      <c r="I8" s="29">
        <v>0</v>
      </c>
      <c r="J8" s="29">
        <v>0</v>
      </c>
      <c r="K8" s="29">
        <v>32.64683303617236</v>
      </c>
      <c r="L8" s="30">
        <f>MIN(E8,Assumptions!$C$35*(I8+J8+K8))</f>
        <v>587.64299465110253</v>
      </c>
      <c r="M8" s="30">
        <f t="shared" si="0"/>
        <v>700.39540646599744</v>
      </c>
      <c r="N8" s="12">
        <f>Assumptions!$C$35*(Assumptions!$C$15*I8+Assumptions!$C$16*J8+Assumptions!$C$26*K8)</f>
        <v>145338.5511163327</v>
      </c>
    </row>
    <row r="9" spans="2:14" x14ac:dyDescent="0.2">
      <c r="B9" s="19" t="str">
        <f>'Provider Inputs'!B9</f>
        <v>RBS</v>
      </c>
      <c r="C9" s="19" t="str">
        <f>'Provider Inputs'!C9</f>
        <v>ALDER HEY CHILDRENS NHS FOUNDATION TRUST</v>
      </c>
      <c r="D9" s="19" t="b">
        <f>'Provider Inputs'!F9</f>
        <v>1</v>
      </c>
      <c r="E9" s="21">
        <f>'Provider Inputs'!G9</f>
        <v>6840.8135127054002</v>
      </c>
      <c r="F9" s="28">
        <f>'Provider Inputs'!J9</f>
        <v>1215.3</v>
      </c>
      <c r="G9" s="28">
        <f>'Provider Inputs'!K9</f>
        <v>173.38838375252851</v>
      </c>
      <c r="H9" s="28">
        <f>'Provider Inputs'!L9</f>
        <v>810.2</v>
      </c>
      <c r="I9" s="29">
        <v>0</v>
      </c>
      <c r="J9" s="29">
        <v>0</v>
      </c>
      <c r="K9" s="29">
        <v>0</v>
      </c>
      <c r="L9" s="30">
        <f>MIN(E9,Assumptions!$C$35*(I9+J9+K9))</f>
        <v>0</v>
      </c>
      <c r="M9" s="30">
        <f t="shared" si="0"/>
        <v>6840.8135127054002</v>
      </c>
      <c r="N9" s="12">
        <f>Assumptions!$C$35*(Assumptions!$C$15*I9+Assumptions!$C$16*J9+Assumptions!$C$26*K9)</f>
        <v>0</v>
      </c>
    </row>
    <row r="10" spans="2:14" x14ac:dyDescent="0.2">
      <c r="B10" s="19" t="str">
        <f>'Provider Inputs'!B10</f>
        <v>RBT</v>
      </c>
      <c r="C10" s="19" t="str">
        <f>'Provider Inputs'!C10</f>
        <v>MID CHESHIRE HOSPITALS NHS FOUNDATION TRUST</v>
      </c>
      <c r="D10" s="19" t="b">
        <f>'Provider Inputs'!F10</f>
        <v>0</v>
      </c>
      <c r="E10" s="21">
        <f>'Provider Inputs'!G10</f>
        <v>33321.374617770598</v>
      </c>
      <c r="F10" s="28">
        <f>'Provider Inputs'!J10</f>
        <v>1763.6207028959966</v>
      </c>
      <c r="G10" s="28">
        <f>'Provider Inputs'!K10</f>
        <v>844.5690382667475</v>
      </c>
      <c r="H10" s="28">
        <f>'Provider Inputs'!L10</f>
        <v>1826.93333333333</v>
      </c>
      <c r="I10" s="29">
        <v>0</v>
      </c>
      <c r="J10" s="29">
        <v>0</v>
      </c>
      <c r="K10" s="29">
        <v>844.5690382667475</v>
      </c>
      <c r="L10" s="30">
        <f>MIN(E10,Assumptions!$C$35*(I10+J10+K10))</f>
        <v>15202.242688801454</v>
      </c>
      <c r="M10" s="30">
        <f t="shared" si="0"/>
        <v>18119.131928969146</v>
      </c>
      <c r="N10" s="12">
        <f>Assumptions!$C$35*(Assumptions!$C$15*I10+Assumptions!$C$16*J10+Assumptions!$C$26*K10)</f>
        <v>3759888.1399429953</v>
      </c>
    </row>
    <row r="11" spans="2:14" x14ac:dyDescent="0.2">
      <c r="B11" s="19" t="str">
        <f>'Provider Inputs'!B11</f>
        <v>REM</v>
      </c>
      <c r="C11" s="19" t="str">
        <f>'Provider Inputs'!C11</f>
        <v>LIVERPOOL UNIVERSITY HOSPITALS NHS FOUNDATION TRUST</v>
      </c>
      <c r="D11" s="19" t="b">
        <f>'Provider Inputs'!F11</f>
        <v>1</v>
      </c>
      <c r="E11" s="21">
        <f>'Provider Inputs'!G11</f>
        <v>41996.017599954001</v>
      </c>
      <c r="F11" s="28">
        <f>'Provider Inputs'!J11</f>
        <v>1372.276121260348</v>
      </c>
      <c r="G11" s="28">
        <f>'Provider Inputs'!K11</f>
        <v>1064.4379651885924</v>
      </c>
      <c r="H11" s="28">
        <f>'Provider Inputs'!L11</f>
        <v>2496.0333333333301</v>
      </c>
      <c r="I11" s="29">
        <v>0</v>
      </c>
      <c r="J11" s="29">
        <v>0</v>
      </c>
      <c r="K11" s="29">
        <v>0</v>
      </c>
      <c r="L11" s="30">
        <f>MIN(E11,Assumptions!$C$35*(I11+J11+K11))</f>
        <v>0</v>
      </c>
      <c r="M11" s="30">
        <f t="shared" si="0"/>
        <v>41996.017599954001</v>
      </c>
      <c r="N11" s="12">
        <f>Assumptions!$C$35*(Assumptions!$C$15*I11+Assumptions!$C$16*J11+Assumptions!$C$26*K11)</f>
        <v>0</v>
      </c>
    </row>
    <row r="12" spans="2:14" x14ac:dyDescent="0.2">
      <c r="B12" s="19" t="str">
        <f>'Provider Inputs'!B12</f>
        <v>REN</v>
      </c>
      <c r="C12" s="19" t="str">
        <f>'Provider Inputs'!C12</f>
        <v>THE CLATTERBRIDGE CANCER CENTRE NHS FOUNDATION TRUST</v>
      </c>
      <c r="D12" s="19" t="b">
        <f>'Provider Inputs'!F12</f>
        <v>0</v>
      </c>
      <c r="E12" s="21">
        <f>'Provider Inputs'!G12</f>
        <v>0</v>
      </c>
      <c r="F12" s="28">
        <f>'Provider Inputs'!J12</f>
        <v>144.42000004979542</v>
      </c>
      <c r="G12" s="28">
        <f>'Provider Inputs'!K12</f>
        <v>0</v>
      </c>
      <c r="H12" s="28">
        <f>'Provider Inputs'!L12</f>
        <v>105.13333333333001</v>
      </c>
      <c r="I12" s="29">
        <v>0</v>
      </c>
      <c r="J12" s="29">
        <v>0</v>
      </c>
      <c r="K12" s="29">
        <v>0</v>
      </c>
      <c r="L12" s="30">
        <f>MIN(E12,Assumptions!$C$35*(I12+J12+K12))</f>
        <v>0</v>
      </c>
      <c r="M12" s="30">
        <f t="shared" si="0"/>
        <v>0</v>
      </c>
      <c r="N12" s="12">
        <f>Assumptions!$C$35*(Assumptions!$C$15*I12+Assumptions!$C$16*J12+Assumptions!$C$26*K12)</f>
        <v>0</v>
      </c>
    </row>
    <row r="13" spans="2:14" x14ac:dyDescent="0.2">
      <c r="B13" s="19" t="str">
        <f>'Provider Inputs'!B13</f>
        <v>REP</v>
      </c>
      <c r="C13" s="19" t="str">
        <f>'Provider Inputs'!C13</f>
        <v>LIVERPOOL WOMENS NHS FOUNDATION TRUST</v>
      </c>
      <c r="D13" s="19" t="b">
        <f>'Provider Inputs'!F13</f>
        <v>1</v>
      </c>
      <c r="E13" s="21">
        <f>'Provider Inputs'!G13</f>
        <v>16961.986013428901</v>
      </c>
      <c r="F13" s="28">
        <f>'Provider Inputs'!J13</f>
        <v>1099.999999999995</v>
      </c>
      <c r="G13" s="28">
        <f>'Provider Inputs'!K13</f>
        <v>429.92128562474466</v>
      </c>
      <c r="H13" s="28">
        <f>'Provider Inputs'!L13</f>
        <v>733.33333333333007</v>
      </c>
      <c r="I13" s="29">
        <v>0</v>
      </c>
      <c r="J13" s="29">
        <v>0</v>
      </c>
      <c r="K13" s="29">
        <v>429.92128562474466</v>
      </c>
      <c r="L13" s="30">
        <f>MIN(E13,Assumptions!$C$35*(I13+J13+K13))</f>
        <v>7738.5831412454036</v>
      </c>
      <c r="M13" s="30">
        <f t="shared" si="0"/>
        <v>9223.4028721834984</v>
      </c>
      <c r="N13" s="12">
        <f>Assumptions!$C$35*(Assumptions!$C$15*I13+Assumptions!$C$16*J13+Assumptions!$C$26*K13)</f>
        <v>1913941.749802795</v>
      </c>
    </row>
    <row r="14" spans="2:14" x14ac:dyDescent="0.2">
      <c r="B14" s="19" t="str">
        <f>'Provider Inputs'!B14</f>
        <v>RET</v>
      </c>
      <c r="C14" s="19" t="str">
        <f>'Provider Inputs'!C14</f>
        <v>THE WALTON CENTRE NHS FOUNDATION TRUST</v>
      </c>
      <c r="D14" s="19" t="b">
        <f>'Provider Inputs'!F14</f>
        <v>1</v>
      </c>
      <c r="E14" s="21">
        <f>'Provider Inputs'!G14</f>
        <v>7897.3002449531004</v>
      </c>
      <c r="F14" s="28">
        <f>'Provider Inputs'!J14</f>
        <v>1100.9500000000048</v>
      </c>
      <c r="G14" s="28">
        <f>'Provider Inputs'!K14</f>
        <v>200.16627012820521</v>
      </c>
      <c r="H14" s="28">
        <f>'Provider Inputs'!L14</f>
        <v>733.96666666666999</v>
      </c>
      <c r="I14" s="29">
        <v>0</v>
      </c>
      <c r="J14" s="29">
        <v>0</v>
      </c>
      <c r="K14" s="29">
        <v>200.16627012820521</v>
      </c>
      <c r="L14" s="30">
        <f>MIN(E14,Assumptions!$C$35*(I14+J14+K14))</f>
        <v>3602.9928623076939</v>
      </c>
      <c r="M14" s="30">
        <f t="shared" si="0"/>
        <v>4294.3073826454065</v>
      </c>
      <c r="N14" s="12">
        <f>Assumptions!$C$35*(Assumptions!$C$15*I14+Assumptions!$C$16*J14+Assumptions!$C$26*K14)</f>
        <v>891108.66130752442</v>
      </c>
    </row>
    <row r="15" spans="2:14" x14ac:dyDescent="0.2">
      <c r="B15" s="19" t="str">
        <f>'Provider Inputs'!B15</f>
        <v>RJN</v>
      </c>
      <c r="C15" s="19" t="str">
        <f>'Provider Inputs'!C15</f>
        <v>EAST CHESHIRE NHS TRUST</v>
      </c>
      <c r="D15" s="19" t="b">
        <f>'Provider Inputs'!F15</f>
        <v>0</v>
      </c>
      <c r="E15" s="21">
        <f>'Provider Inputs'!G15</f>
        <v>19081.145184594101</v>
      </c>
      <c r="F15" s="28">
        <f>'Provider Inputs'!J15</f>
        <v>557.46152459639995</v>
      </c>
      <c r="G15" s="28">
        <f>'Provider Inputs'!K15</f>
        <v>483.63384231412704</v>
      </c>
      <c r="H15" s="28">
        <f>'Provider Inputs'!L15</f>
        <v>448.20000000000005</v>
      </c>
      <c r="I15" s="29">
        <v>0</v>
      </c>
      <c r="J15" s="29">
        <v>0</v>
      </c>
      <c r="K15" s="29">
        <v>0</v>
      </c>
      <c r="L15" s="30">
        <f>MIN(E15,Assumptions!$C$35*(I15+J15+K15))</f>
        <v>0</v>
      </c>
      <c r="M15" s="30">
        <f t="shared" si="0"/>
        <v>19081.145184594101</v>
      </c>
      <c r="N15" s="12">
        <f>Assumptions!$C$35*(Assumptions!$C$15*I15+Assumptions!$C$16*J15+Assumptions!$C$26*K15)</f>
        <v>0</v>
      </c>
    </row>
    <row r="16" spans="2:14" x14ac:dyDescent="0.2">
      <c r="B16" s="19" t="str">
        <f>'Provider Inputs'!B16</f>
        <v>RJR</v>
      </c>
      <c r="C16" s="19" t="str">
        <f>'Provider Inputs'!C16</f>
        <v>COUNTESS OF CHESTER HOSPITAL NHS FOUNDATION TRUST</v>
      </c>
      <c r="D16" s="19" t="b">
        <f>'Provider Inputs'!F16</f>
        <v>0</v>
      </c>
      <c r="E16" s="21">
        <f>'Provider Inputs'!G16</f>
        <v>46245.964654786003</v>
      </c>
      <c r="F16" s="28">
        <f>'Provider Inputs'!J16</f>
        <v>149.05853817665033</v>
      </c>
      <c r="G16" s="28">
        <f>'Provider Inputs'!K16</f>
        <v>1172.157821825894</v>
      </c>
      <c r="H16" s="28">
        <f>'Provider Inputs'!L16</f>
        <v>1504.3666666666702</v>
      </c>
      <c r="I16" s="29">
        <v>0</v>
      </c>
      <c r="J16" s="29">
        <v>0</v>
      </c>
      <c r="K16" s="29">
        <v>1172.157821825894</v>
      </c>
      <c r="L16" s="30">
        <f>MIN(E16,Assumptions!$C$35*(I16+J16+K16))</f>
        <v>21098.840792866093</v>
      </c>
      <c r="M16" s="30">
        <f t="shared" si="0"/>
        <v>25147.12386191991</v>
      </c>
      <c r="N16" s="12">
        <f>Assumptions!$C$35*(Assumptions!$C$15*I16+Assumptions!$C$16*J16+Assumptions!$C$26*K16)</f>
        <v>5218261.7320061345</v>
      </c>
    </row>
    <row r="17" spans="2:14" x14ac:dyDescent="0.2">
      <c r="B17" s="19" t="str">
        <f>'Provider Inputs'!B17</f>
        <v>RWW</v>
      </c>
      <c r="C17" s="19" t="str">
        <f>'Provider Inputs'!C17</f>
        <v>WARRINGTON AND HALTON TEACHING HOSPITALS NHS FOUNDATION TRUST</v>
      </c>
      <c r="D17" s="19" t="b">
        <f>'Provider Inputs'!F17</f>
        <v>0</v>
      </c>
      <c r="E17" s="21">
        <f>'Provider Inputs'!G17</f>
        <v>28763.7849802044</v>
      </c>
      <c r="F17" s="28">
        <f>'Provider Inputs'!J17</f>
        <v>1219.804968772803</v>
      </c>
      <c r="G17" s="28">
        <f>'Provider Inputs'!K17</f>
        <v>729.05162215868086</v>
      </c>
      <c r="H17" s="28">
        <f>'Provider Inputs'!L17</f>
        <v>1334.3666666666702</v>
      </c>
      <c r="I17" s="29">
        <v>0</v>
      </c>
      <c r="J17" s="29">
        <v>0</v>
      </c>
      <c r="K17" s="29">
        <v>350.62555803452881</v>
      </c>
      <c r="L17" s="30">
        <f>MIN(E17,Assumptions!$C$35*(I17+J17+K17))</f>
        <v>6311.2600446215183</v>
      </c>
      <c r="M17" s="30">
        <f t="shared" si="0"/>
        <v>22452.524935582882</v>
      </c>
      <c r="N17" s="12">
        <f>Assumptions!$C$35*(Assumptions!$C$15*I17+Assumptions!$C$16*J17+Assumptions!$C$26*K17)</f>
        <v>1560929.6783131012</v>
      </c>
    </row>
    <row r="19" spans="2:14" x14ac:dyDescent="0.2">
      <c r="B19" s="24"/>
      <c r="C19" s="25" t="s">
        <v>139</v>
      </c>
      <c r="D19" s="24"/>
      <c r="E19" s="26">
        <f>SUM(E6:E17)</f>
        <v>296284.14601619693</v>
      </c>
      <c r="F19" s="24"/>
      <c r="G19" s="24"/>
      <c r="H19" s="24"/>
      <c r="I19" s="24"/>
      <c r="J19" s="24"/>
      <c r="K19" s="24"/>
      <c r="L19" s="26">
        <f>SUM(L6:L17)</f>
        <v>60649.049079284378</v>
      </c>
      <c r="M19" s="26">
        <f>SUM(M6:M17)</f>
        <v>235635.09693691254</v>
      </c>
      <c r="N19" s="31">
        <f>SUM(N6:N17)</f>
        <v>15000000.000000007</v>
      </c>
    </row>
    <row r="21" spans="2:14" x14ac:dyDescent="0.2">
      <c r="C21" s="4" t="s">
        <v>140</v>
      </c>
      <c r="E21" s="32">
        <f>L19</f>
        <v>60649.049079284378</v>
      </c>
    </row>
    <row r="22" spans="2:14" x14ac:dyDescent="0.2">
      <c r="C22" s="4" t="s">
        <v>141</v>
      </c>
      <c r="E22" s="16">
        <f>L19/E19</f>
        <v>0.20469893477178791</v>
      </c>
    </row>
    <row r="23" spans="2:14" x14ac:dyDescent="0.2">
      <c r="C23" s="4" t="s">
        <v>142</v>
      </c>
      <c r="E23" s="12">
        <f>N19</f>
        <v>15000000.000000007</v>
      </c>
    </row>
    <row r="24" spans="2:14" x14ac:dyDescent="0.2">
      <c r="C24" s="4" t="s">
        <v>143</v>
      </c>
      <c r="E24" s="33">
        <f>Assumptions!$C$31</f>
        <v>15000000</v>
      </c>
    </row>
    <row r="25" spans="2:14" x14ac:dyDescent="0.2">
      <c r="C25" s="4" t="s">
        <v>144</v>
      </c>
      <c r="E25" s="12">
        <f>E24-N19</f>
        <v>0</v>
      </c>
    </row>
    <row r="26" spans="2:14" x14ac:dyDescent="0.2">
      <c r="C26" s="4" t="s">
        <v>145</v>
      </c>
      <c r="E26" s="30">
        <f>SUMIF(D6:D17,TRUE(),L6:L17)</f>
        <v>18036.705552995303</v>
      </c>
    </row>
    <row r="27" spans="2:14" x14ac:dyDescent="0.2">
      <c r="C27" s="4" t="s">
        <v>146</v>
      </c>
      <c r="E27" s="15">
        <f>Assumptions!$C$34</f>
        <v>0.2973946966491855</v>
      </c>
    </row>
    <row r="28" spans="2:14" x14ac:dyDescent="0.2">
      <c r="C28" s="4" t="s">
        <v>147</v>
      </c>
      <c r="E28" s="30">
        <f>E26-E27*L19</f>
        <v>-3.637978807091713E-11</v>
      </c>
    </row>
    <row r="31" spans="2:14" x14ac:dyDescent="0.2">
      <c r="B31" s="4" t="s">
        <v>148</v>
      </c>
    </row>
    <row r="32" spans="2:14" ht="13.5" customHeight="1" x14ac:dyDescent="0.2">
      <c r="B32" s="2" t="s">
        <v>149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2:13" ht="13.5" customHeight="1" x14ac:dyDescent="0.2">
      <c r="B33" s="2" t="s">
        <v>150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 ht="13.5" customHeight="1" x14ac:dyDescent="0.2">
      <c r="B34" s="2" t="s">
        <v>151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 ht="13.5" customHeight="1" x14ac:dyDescent="0.2">
      <c r="B35" s="2" t="s">
        <v>152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2:13" ht="13.5" customHeight="1" x14ac:dyDescent="0.2">
      <c r="B36" s="2" t="s">
        <v>153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2:13" ht="13.5" customHeight="1" x14ac:dyDescent="0.2">
      <c r="B37" s="2" t="s">
        <v>154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2:13" ht="13.5" customHeight="1" x14ac:dyDescent="0.2">
      <c r="B38" s="2" t="s">
        <v>155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2:13" ht="13.5" customHeight="1" x14ac:dyDescent="0.2">
      <c r="B39" s="2" t="s">
        <v>156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2:13" ht="27.75" customHeight="1" x14ac:dyDescent="0.2">
      <c r="B40" s="2" t="s">
        <v>157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2:13" ht="42" customHeight="1" x14ac:dyDescent="0.2">
      <c r="B41" s="2" t="s">
        <v>158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</sheetData>
  <mergeCells count="10">
    <mergeCell ref="B37:M37"/>
    <mergeCell ref="B38:M38"/>
    <mergeCell ref="B39:M39"/>
    <mergeCell ref="B40:M40"/>
    <mergeCell ref="B41:M41"/>
    <mergeCell ref="B32:M32"/>
    <mergeCell ref="B33:M33"/>
    <mergeCell ref="B34:M34"/>
    <mergeCell ref="B35:M35"/>
    <mergeCell ref="B36:M3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41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6" width="16" customWidth="1"/>
    <col min="7" max="8" width="14" customWidth="1"/>
  </cols>
  <sheetData>
    <row r="2" spans="2:7" ht="18" x14ac:dyDescent="0.2">
      <c r="B2" s="3" t="s">
        <v>159</v>
      </c>
    </row>
    <row r="3" spans="2:7" x14ac:dyDescent="0.2">
      <c r="B3" s="6" t="s">
        <v>160</v>
      </c>
    </row>
    <row r="5" spans="2:7" ht="30" customHeight="1" x14ac:dyDescent="0.2">
      <c r="B5" s="18" t="s">
        <v>161</v>
      </c>
      <c r="C5" s="18" t="s">
        <v>162</v>
      </c>
      <c r="D5" s="18" t="s">
        <v>163</v>
      </c>
      <c r="E5" s="18" t="s">
        <v>164</v>
      </c>
      <c r="F5" s="18" t="s">
        <v>165</v>
      </c>
      <c r="G5" s="18" t="s">
        <v>166</v>
      </c>
    </row>
    <row r="6" spans="2:7" x14ac:dyDescent="0.2">
      <c r="B6" s="34">
        <v>2000000</v>
      </c>
      <c r="C6" s="35">
        <v>0</v>
      </c>
      <c r="D6" s="35">
        <v>0</v>
      </c>
      <c r="E6" s="35">
        <v>8086.5398772379003</v>
      </c>
      <c r="F6" s="35">
        <v>8086.5398772379003</v>
      </c>
      <c r="G6" s="36">
        <v>2.7293191299999998E-2</v>
      </c>
    </row>
    <row r="7" spans="2:7" x14ac:dyDescent="0.2">
      <c r="B7" s="34">
        <v>5000000</v>
      </c>
      <c r="C7" s="35">
        <v>0</v>
      </c>
      <c r="D7" s="35">
        <v>0</v>
      </c>
      <c r="E7" s="35">
        <v>20216.349693094799</v>
      </c>
      <c r="F7" s="35">
        <v>20216.349693094799</v>
      </c>
      <c r="G7" s="36">
        <v>6.8232978299999997E-2</v>
      </c>
    </row>
    <row r="8" spans="2:7" x14ac:dyDescent="0.2">
      <c r="B8" s="34">
        <v>10000000</v>
      </c>
      <c r="C8" s="35">
        <v>0</v>
      </c>
      <c r="D8" s="35">
        <v>0</v>
      </c>
      <c r="E8" s="35">
        <v>40432.699386189597</v>
      </c>
      <c r="F8" s="35">
        <v>40432.699386189597</v>
      </c>
      <c r="G8" s="36">
        <v>0.13646595650000001</v>
      </c>
    </row>
    <row r="9" spans="2:7" x14ac:dyDescent="0.2">
      <c r="B9" s="34">
        <v>15000000</v>
      </c>
      <c r="C9" s="35">
        <v>0</v>
      </c>
      <c r="D9" s="35">
        <v>0</v>
      </c>
      <c r="E9" s="35">
        <v>60649.049079284399</v>
      </c>
      <c r="F9" s="35">
        <v>60649.049079284399</v>
      </c>
      <c r="G9" s="36">
        <v>0.20469893480000001</v>
      </c>
    </row>
    <row r="10" spans="2:7" x14ac:dyDescent="0.2">
      <c r="B10" s="34">
        <v>25000000</v>
      </c>
      <c r="C10" s="35">
        <v>0</v>
      </c>
      <c r="D10" s="35">
        <v>0</v>
      </c>
      <c r="E10" s="35">
        <v>101081.748465474</v>
      </c>
      <c r="F10" s="35">
        <v>101081.748465474</v>
      </c>
      <c r="G10" s="36">
        <v>0.34116489129999999</v>
      </c>
    </row>
    <row r="11" spans="2:7" x14ac:dyDescent="0.2">
      <c r="B11" s="34">
        <v>40000000</v>
      </c>
      <c r="C11" s="35">
        <v>0</v>
      </c>
      <c r="D11" s="35">
        <v>0</v>
      </c>
      <c r="E11" s="35">
        <v>161730.79754475801</v>
      </c>
      <c r="F11" s="35">
        <v>161730.79754475801</v>
      </c>
      <c r="G11" s="36">
        <v>0.54586382609999995</v>
      </c>
    </row>
    <row r="12" spans="2:7" x14ac:dyDescent="0.2">
      <c r="B12" s="34">
        <v>60000000</v>
      </c>
      <c r="C12" s="35">
        <v>0</v>
      </c>
      <c r="D12" s="35">
        <v>0</v>
      </c>
      <c r="E12" s="35">
        <v>242596.19631713699</v>
      </c>
      <c r="F12" s="35">
        <v>242596.19631713699</v>
      </c>
      <c r="G12" s="36">
        <v>0.81879573910000003</v>
      </c>
    </row>
    <row r="13" spans="2:7" x14ac:dyDescent="0.2">
      <c r="B13" s="34">
        <v>90000000</v>
      </c>
      <c r="C13" s="35">
        <v>41488.399271531802</v>
      </c>
      <c r="D13" s="35">
        <v>39294.641031777101</v>
      </c>
      <c r="E13" s="35">
        <v>209566.21514171499</v>
      </c>
      <c r="F13" s="35">
        <v>290349.255445024</v>
      </c>
      <c r="G13" s="36">
        <v>0.97996892290000004</v>
      </c>
    </row>
    <row r="14" spans="2:7" x14ac:dyDescent="0.2">
      <c r="B14" s="34">
        <v>130000000</v>
      </c>
      <c r="C14" s="35">
        <v>63095.844797796097</v>
      </c>
      <c r="D14" s="35">
        <v>39294.641031777101</v>
      </c>
      <c r="E14" s="35">
        <v>187958.76961545099</v>
      </c>
      <c r="F14" s="35">
        <v>290349.255445024</v>
      </c>
      <c r="G14" s="36">
        <v>0.97996892290000004</v>
      </c>
    </row>
    <row r="41" spans="2:7" ht="45" customHeight="1" x14ac:dyDescent="0.2">
      <c r="B41" s="1" t="s">
        <v>167</v>
      </c>
      <c r="C41" s="1"/>
      <c r="D41" s="1"/>
      <c r="E41" s="1"/>
      <c r="F41" s="1"/>
      <c r="G41" s="1"/>
    </row>
  </sheetData>
  <mergeCells count="1">
    <mergeCell ref="B41:G4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Assumptions</vt:lpstr>
      <vt:lpstr>Provider Inputs</vt:lpstr>
      <vt:lpstr>Solver Model</vt:lpstr>
      <vt:lpstr>Budget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Vedant Audichya (Student)</cp:lastModifiedBy>
  <cp:revision>1</cp:revision>
  <dcterms:created xsi:type="dcterms:W3CDTF">2026-08-08T11:25:28Z</dcterms:created>
  <dcterms:modified xsi:type="dcterms:W3CDTF">2026-08-08T11:39:03Z</dcterms:modified>
  <dc:language>en-US</dc:language>
</cp:coreProperties>
</file>